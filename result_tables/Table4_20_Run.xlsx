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C22C7488-BB56-49F7-8EE2-390D1358381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4" sheetId="1" r:id="rId1"/>
    <sheet name="Table4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" i="1"/>
  <c r="AA25" i="1"/>
  <c r="Z25" i="1"/>
  <c r="Y25" i="1"/>
  <c r="W25" i="1"/>
  <c r="G5" i="2" s="1"/>
  <c r="AA24" i="1"/>
  <c r="Z24" i="1"/>
  <c r="Y24" i="1"/>
  <c r="W24" i="1"/>
  <c r="AA23" i="1"/>
  <c r="Z23" i="1"/>
  <c r="W23" i="1"/>
  <c r="AA22" i="1"/>
  <c r="Z22" i="1"/>
  <c r="Y22" i="1"/>
  <c r="W22" i="1"/>
  <c r="AA21" i="1"/>
  <c r="Z21" i="1"/>
  <c r="W21" i="1"/>
  <c r="AA20" i="1"/>
  <c r="Z20" i="1"/>
  <c r="Y20" i="1"/>
  <c r="W20" i="1"/>
  <c r="B5" i="2" s="1"/>
  <c r="AA19" i="1"/>
  <c r="Z19" i="1"/>
  <c r="W19" i="1"/>
  <c r="G4" i="2" s="1"/>
  <c r="AA18" i="1"/>
  <c r="Z18" i="1"/>
  <c r="Y18" i="1"/>
  <c r="W18" i="1"/>
  <c r="AA17" i="1"/>
  <c r="Z17" i="1"/>
  <c r="Y17" i="1"/>
  <c r="W17" i="1"/>
  <c r="AA16" i="1"/>
  <c r="Z16" i="1"/>
  <c r="Y16" i="1"/>
  <c r="W16" i="1"/>
  <c r="D4" i="2" s="1"/>
  <c r="AA15" i="1"/>
  <c r="Z15" i="1"/>
  <c r="W15" i="1"/>
  <c r="AA14" i="1"/>
  <c r="Z14" i="1"/>
  <c r="W14" i="1"/>
  <c r="AA13" i="1"/>
  <c r="Z13" i="1"/>
  <c r="Y13" i="1"/>
  <c r="W13" i="1"/>
  <c r="AA12" i="1"/>
  <c r="Z12" i="1"/>
  <c r="Y12" i="1"/>
  <c r="W12" i="1"/>
  <c r="AA11" i="1"/>
  <c r="Z11" i="1"/>
  <c r="Y11" i="1"/>
  <c r="W11" i="1"/>
  <c r="E3" i="2" s="1"/>
  <c r="AA10" i="1"/>
  <c r="Z10" i="1"/>
  <c r="W10" i="1"/>
  <c r="AA9" i="1"/>
  <c r="Z9" i="1"/>
  <c r="Y9" i="1"/>
  <c r="W9" i="1"/>
  <c r="C3" i="2" s="1"/>
  <c r="AA8" i="1"/>
  <c r="Z8" i="1"/>
  <c r="W8" i="1"/>
  <c r="B3" i="2" s="1"/>
  <c r="AA7" i="1"/>
  <c r="Z7" i="1"/>
  <c r="Y7" i="1"/>
  <c r="W7" i="1"/>
  <c r="G2" i="2" s="1"/>
  <c r="AA6" i="1"/>
  <c r="Z6" i="1"/>
  <c r="Y6" i="1"/>
  <c r="W6" i="1"/>
  <c r="F2" i="2" s="1"/>
  <c r="AA5" i="1"/>
  <c r="Z5" i="1"/>
  <c r="Y5" i="1"/>
  <c r="W5" i="1"/>
  <c r="AA4" i="1"/>
  <c r="Z4" i="1"/>
  <c r="W4" i="1"/>
  <c r="AA3" i="1"/>
  <c r="Z3" i="1"/>
  <c r="Y3" i="1"/>
  <c r="W3" i="1"/>
  <c r="AA2" i="1"/>
  <c r="Z2" i="1"/>
  <c r="Y2" i="1"/>
  <c r="W2" i="1"/>
  <c r="B2" i="2" s="1"/>
  <c r="E4" i="2" l="1"/>
  <c r="D3" i="2"/>
  <c r="F5" i="2"/>
  <c r="E5" i="2"/>
  <c r="C4" i="2"/>
  <c r="D2" i="2"/>
  <c r="Y23" i="1"/>
  <c r="Y10" i="1"/>
  <c r="Y8" i="1"/>
  <c r="Y4" i="1"/>
  <c r="C2" i="2"/>
  <c r="Y19" i="1"/>
  <c r="Y15" i="1"/>
  <c r="Y14" i="1"/>
  <c r="Y21" i="1"/>
  <c r="F4" i="2"/>
  <c r="D5" i="2"/>
  <c r="C5" i="2"/>
  <c r="E2" i="2"/>
  <c r="B4" i="2"/>
  <c r="F3" i="2"/>
  <c r="G3" i="2"/>
</calcChain>
</file>

<file path=xl/sharedStrings.xml><?xml version="1.0" encoding="utf-8"?>
<sst xmlns="http://schemas.openxmlformats.org/spreadsheetml/2006/main" count="86" uniqueCount="37">
  <si>
    <t>Configuration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</si>
  <si>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</si>
  <si>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</si>
  <si>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</si>
  <si>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</si>
  <si>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</si>
  <si>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</si>
  <si>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</si>
  <si>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</si>
  <si>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</si>
  <si>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</si>
  <si>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</si>
  <si>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</si>
  <si>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</si>
  <si>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</si>
  <si>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</si>
  <si>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</si>
  <si>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</si>
  <si>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</si>
  <si>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</si>
  <si>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</si>
  <si>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</si>
  <si>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</si>
  <si>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</si>
  <si>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</si>
  <si>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</si>
  <si>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</si>
  <si>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Source-only</t>
  </si>
  <si>
    <t>MAE</t>
  </si>
  <si>
    <t>RMSE</t>
  </si>
  <si>
    <t>sMAPE (%)</t>
  </si>
  <si>
    <t>R2</t>
  </si>
  <si>
    <t>PICP (%)</t>
  </si>
  <si>
    <t>Shift Score</t>
  </si>
  <si>
    <t>Target-only</t>
  </si>
  <si>
    <t>Zero-shot transfer</t>
  </si>
  <si>
    <t>Adapted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</si>
</sst>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workbookViewId="0">
      <pane xSplit="2" ySplit="1" topLeftCell="I2" activePane="bottomRight" state="frozen"/>
      <selection pane="topRight"/>
      <selection pane="bottomLeft"/>
      <selection pane="bottomRight" activeCell="Z34" sqref="Z34"/>
    </sheetView>
  </sheetViews>
  <sheetFormatPr defaultRowHeight="15" x14ac:dyDescent="0.25"/>
  <cols>
    <col min="1" max="1" width="22" customWidth="1"/>
    <col min="2" max="2" width="16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0.87749999999999995</v>
      </c>
      <c r="D2" s="2">
        <v>0.80279999999999996</v>
      </c>
      <c r="E2" s="2">
        <v>0.81089999999999995</v>
      </c>
      <c r="F2" s="2">
        <v>0.9224</v>
      </c>
      <c r="G2" s="2">
        <v>0.87729999999999997</v>
      </c>
      <c r="H2" s="2">
        <v>0.80359999999999998</v>
      </c>
      <c r="I2" s="2">
        <v>0.85919999999999996</v>
      </c>
      <c r="J2" s="2">
        <v>0.85929999999999995</v>
      </c>
      <c r="K2" s="2">
        <v>0.92700000000000005</v>
      </c>
      <c r="L2" s="2">
        <v>0.84650000000000003</v>
      </c>
      <c r="M2" s="2">
        <v>0.86350000000000005</v>
      </c>
      <c r="N2" s="2">
        <v>0.85109999999999997</v>
      </c>
      <c r="O2" s="2">
        <v>0.82569999999999999</v>
      </c>
      <c r="P2" s="2">
        <v>0.85680000000000001</v>
      </c>
      <c r="Q2" s="2">
        <v>0.81789999999999996</v>
      </c>
      <c r="R2" s="2">
        <v>0.81740000000000002</v>
      </c>
      <c r="S2" s="2">
        <v>0.83379999999999999</v>
      </c>
      <c r="T2" s="2">
        <v>0.88139999999999996</v>
      </c>
      <c r="U2" s="2">
        <v>0.80520000000000003</v>
      </c>
      <c r="V2" s="2">
        <v>0.83630000000000004</v>
      </c>
      <c r="W2" s="2">
        <f t="shared" ref="W2:W25" si="0">AVERAGE(C2:V2)</f>
        <v>0.8487800000000002</v>
      </c>
      <c r="X2" s="2">
        <f>_xlfn.STDEV.S(C2:V2)</f>
        <v>3.6340503718665158E-2</v>
      </c>
      <c r="Y2" s="2">
        <f t="shared" ref="Y2:Y25" si="1">IFERROR(X2/W2*100,"")</f>
        <v>4.2814985884051397</v>
      </c>
      <c r="Z2" s="2">
        <f t="shared" ref="Z2:Z25" si="2">MIN(C2:V2)</f>
        <v>0.80279999999999996</v>
      </c>
      <c r="AA2" s="2">
        <f t="shared" ref="AA2:AA25" si="3">MAX(C2:V2)</f>
        <v>0.92700000000000005</v>
      </c>
    </row>
    <row r="3" spans="1:27" x14ac:dyDescent="0.25">
      <c r="A3" t="s">
        <v>27</v>
      </c>
      <c r="B3" t="s">
        <v>29</v>
      </c>
      <c r="C3" s="2">
        <v>1.1593</v>
      </c>
      <c r="D3" s="2">
        <v>1.1448</v>
      </c>
      <c r="E3" s="2">
        <v>1.1334</v>
      </c>
      <c r="F3" s="2">
        <v>1.0767</v>
      </c>
      <c r="G3" s="2">
        <v>1.1685000000000001</v>
      </c>
      <c r="H3" s="2">
        <v>1.139</v>
      </c>
      <c r="I3" s="2">
        <v>1.0684</v>
      </c>
      <c r="J3" s="2">
        <v>1.1382000000000001</v>
      </c>
      <c r="K3" s="2">
        <v>1.1102000000000001</v>
      </c>
      <c r="L3" s="2">
        <v>1.1243000000000001</v>
      </c>
      <c r="M3" s="2">
        <v>1.1997</v>
      </c>
      <c r="N3" s="2">
        <v>1.1173</v>
      </c>
      <c r="O3" s="2">
        <v>1.1714</v>
      </c>
      <c r="P3" s="2">
        <v>1.1713</v>
      </c>
      <c r="Q3" s="2">
        <v>1.1135999999999999</v>
      </c>
      <c r="R3" s="2">
        <v>1.139</v>
      </c>
      <c r="S3" s="2">
        <v>1.0582</v>
      </c>
      <c r="T3" s="2">
        <v>1.1876</v>
      </c>
      <c r="U3" s="2">
        <v>1.1147</v>
      </c>
      <c r="V3" s="2">
        <v>1.0136000000000001</v>
      </c>
      <c r="W3" s="2">
        <f t="shared" si="0"/>
        <v>1.1274599999999999</v>
      </c>
      <c r="X3" s="2">
        <f t="shared" ref="X3:X25" si="4">_xlfn.STDEV.S(C3:V3)</f>
        <v>4.6280363006355074E-2</v>
      </c>
      <c r="Y3" s="2">
        <f t="shared" si="1"/>
        <v>4.1048341410209748</v>
      </c>
      <c r="Z3" s="2">
        <f t="shared" si="2"/>
        <v>1.0136000000000001</v>
      </c>
      <c r="AA3" s="2">
        <f t="shared" si="3"/>
        <v>1.1997</v>
      </c>
    </row>
    <row r="4" spans="1:27" x14ac:dyDescent="0.25">
      <c r="A4" t="s">
        <v>27</v>
      </c>
      <c r="B4" t="s">
        <v>30</v>
      </c>
      <c r="C4" s="2">
        <v>7.0532000000000004</v>
      </c>
      <c r="D4" s="2">
        <v>7.2878999999999996</v>
      </c>
      <c r="E4" s="2">
        <v>7.5273000000000003</v>
      </c>
      <c r="F4" s="2">
        <v>7.2792000000000003</v>
      </c>
      <c r="G4" s="2">
        <v>6.4646999999999997</v>
      </c>
      <c r="H4" s="2">
        <v>7.0960000000000001</v>
      </c>
      <c r="I4" s="2">
        <v>7.1974999999999998</v>
      </c>
      <c r="J4" s="2">
        <v>7.2977999999999996</v>
      </c>
      <c r="K4" s="2">
        <v>7.0894000000000004</v>
      </c>
      <c r="L4" s="2">
        <v>7.1414</v>
      </c>
      <c r="M4" s="2">
        <v>7.1292999999999997</v>
      </c>
      <c r="N4" s="2">
        <v>7.5073999999999996</v>
      </c>
      <c r="O4" s="2">
        <v>6.8888999999999996</v>
      </c>
      <c r="P4" s="2">
        <v>7.6013000000000002</v>
      </c>
      <c r="Q4" s="2">
        <v>6.915</v>
      </c>
      <c r="R4" s="2">
        <v>7.5294999999999996</v>
      </c>
      <c r="S4" s="2">
        <v>6.3015999999999996</v>
      </c>
      <c r="T4" s="2">
        <v>7.141</v>
      </c>
      <c r="U4" s="2">
        <v>7.1138000000000003</v>
      </c>
      <c r="V4" s="2">
        <v>7.6726000000000001</v>
      </c>
      <c r="W4" s="2">
        <f t="shared" si="0"/>
        <v>7.1617399999999991</v>
      </c>
      <c r="X4" s="2">
        <f t="shared" si="4"/>
        <v>0.34630498332204845</v>
      </c>
      <c r="Y4" s="2">
        <f t="shared" si="1"/>
        <v>4.8354866739374582</v>
      </c>
      <c r="Z4" s="2">
        <f t="shared" si="2"/>
        <v>6.3015999999999996</v>
      </c>
      <c r="AA4" s="2">
        <f t="shared" si="3"/>
        <v>7.6726000000000001</v>
      </c>
    </row>
    <row r="5" spans="1:27" x14ac:dyDescent="0.25">
      <c r="A5" t="s">
        <v>27</v>
      </c>
      <c r="B5" t="s">
        <v>31</v>
      </c>
      <c r="C5" s="2">
        <v>0.86360000000000003</v>
      </c>
      <c r="D5" s="2">
        <v>0.85</v>
      </c>
      <c r="E5" s="2">
        <v>0.85050000000000003</v>
      </c>
      <c r="F5" s="2">
        <v>0.8589</v>
      </c>
      <c r="G5" s="2">
        <v>0.86650000000000005</v>
      </c>
      <c r="H5" s="2">
        <v>0.85980000000000001</v>
      </c>
      <c r="I5" s="2">
        <v>0.85640000000000005</v>
      </c>
      <c r="J5" s="2">
        <v>0.83350000000000002</v>
      </c>
      <c r="K5" s="2">
        <v>0.84340000000000004</v>
      </c>
      <c r="L5" s="2">
        <v>0.85070000000000001</v>
      </c>
      <c r="M5" s="2">
        <v>0.85389999999999999</v>
      </c>
      <c r="N5" s="2">
        <v>0.8579</v>
      </c>
      <c r="O5" s="2">
        <v>0.87209999999999999</v>
      </c>
      <c r="P5" s="2">
        <v>0.86050000000000004</v>
      </c>
      <c r="Q5" s="2">
        <v>0.85929999999999995</v>
      </c>
      <c r="R5" s="2">
        <v>0.85929999999999995</v>
      </c>
      <c r="S5" s="2">
        <v>0.85370000000000001</v>
      </c>
      <c r="T5" s="2">
        <v>0.85619999999999996</v>
      </c>
      <c r="U5" s="2">
        <v>0.84719999999999995</v>
      </c>
      <c r="V5" s="2">
        <v>0.86499999999999999</v>
      </c>
      <c r="W5" s="2">
        <f t="shared" si="0"/>
        <v>0.8559199999999999</v>
      </c>
      <c r="X5" s="2">
        <f t="shared" si="4"/>
        <v>8.6550015962782428E-3</v>
      </c>
      <c r="Y5" s="2">
        <f t="shared" si="1"/>
        <v>1.0111928213242176</v>
      </c>
      <c r="Z5" s="2">
        <f t="shared" si="2"/>
        <v>0.83350000000000002</v>
      </c>
      <c r="AA5" s="2">
        <f t="shared" si="3"/>
        <v>0.87209999999999999</v>
      </c>
    </row>
    <row r="6" spans="1:27" x14ac:dyDescent="0.25">
      <c r="A6" t="s">
        <v>27</v>
      </c>
      <c r="B6" t="s">
        <v>32</v>
      </c>
      <c r="C6" s="2">
        <v>94.057199999999995</v>
      </c>
      <c r="D6" s="2">
        <v>94.866699999999994</v>
      </c>
      <c r="E6" s="2">
        <v>95.076599999999999</v>
      </c>
      <c r="F6" s="2">
        <v>94.578900000000004</v>
      </c>
      <c r="G6" s="2">
        <v>94.140199999999993</v>
      </c>
      <c r="H6" s="2">
        <v>94.785499999999999</v>
      </c>
      <c r="I6" s="2">
        <v>94.6233</v>
      </c>
      <c r="J6" s="2">
        <v>93.040400000000005</v>
      </c>
      <c r="K6" s="2">
        <v>93.247900000000001</v>
      </c>
      <c r="L6" s="2">
        <v>96.157499999999999</v>
      </c>
      <c r="M6" s="2">
        <v>92.9923</v>
      </c>
      <c r="N6" s="2">
        <v>95.587599999999995</v>
      </c>
      <c r="O6" s="2">
        <v>94.980199999999996</v>
      </c>
      <c r="P6" s="2">
        <v>95.360600000000005</v>
      </c>
      <c r="Q6" s="2">
        <v>94.674099999999996</v>
      </c>
      <c r="R6" s="2">
        <v>94.348399999999998</v>
      </c>
      <c r="S6" s="2">
        <v>94.492599999999996</v>
      </c>
      <c r="T6" s="2">
        <v>95.905299999999997</v>
      </c>
      <c r="U6" s="2">
        <v>95.673699999999997</v>
      </c>
      <c r="V6" s="2">
        <v>95.034499999999994</v>
      </c>
      <c r="W6" s="2">
        <f t="shared" si="0"/>
        <v>94.681174999999996</v>
      </c>
      <c r="X6" s="2">
        <f t="shared" si="4"/>
        <v>0.88267367450145073</v>
      </c>
      <c r="Y6" s="2">
        <f t="shared" si="1"/>
        <v>0.93225889359891312</v>
      </c>
      <c r="Z6" s="2">
        <f t="shared" si="2"/>
        <v>92.9923</v>
      </c>
      <c r="AA6" s="2">
        <f t="shared" si="3"/>
        <v>96.157499999999999</v>
      </c>
    </row>
    <row r="7" spans="1:27" x14ac:dyDescent="0.25">
      <c r="A7" t="s">
        <v>27</v>
      </c>
      <c r="B7" t="s">
        <v>33</v>
      </c>
      <c r="C7" s="2">
        <v>0.31869999999999998</v>
      </c>
      <c r="D7" s="2">
        <v>0.25869999999999999</v>
      </c>
      <c r="E7" s="2">
        <v>0.29299999999999998</v>
      </c>
      <c r="F7" s="2">
        <v>0.27789999999999998</v>
      </c>
      <c r="G7" s="2">
        <v>0.2671</v>
      </c>
      <c r="H7" s="2">
        <v>0.25690000000000002</v>
      </c>
      <c r="I7" s="2">
        <v>0.29349999999999998</v>
      </c>
      <c r="J7" s="2">
        <v>0.2903</v>
      </c>
      <c r="K7" s="2">
        <v>0.27239999999999998</v>
      </c>
      <c r="L7" s="2">
        <v>0.28189999999999998</v>
      </c>
      <c r="M7" s="2">
        <v>0.30020000000000002</v>
      </c>
      <c r="N7" s="2">
        <v>0.26700000000000002</v>
      </c>
      <c r="O7" s="2">
        <v>0.26379999999999998</v>
      </c>
      <c r="P7" s="2">
        <v>0.29189999999999999</v>
      </c>
      <c r="Q7" s="2">
        <v>0.29559999999999997</v>
      </c>
      <c r="R7" s="2">
        <v>0.27679999999999999</v>
      </c>
      <c r="S7" s="2">
        <v>0.2606</v>
      </c>
      <c r="T7" s="2">
        <v>0.28770000000000001</v>
      </c>
      <c r="U7" s="2">
        <v>0.29370000000000002</v>
      </c>
      <c r="V7" s="2">
        <v>0.26850000000000002</v>
      </c>
      <c r="W7" s="2">
        <f t="shared" si="0"/>
        <v>0.28081</v>
      </c>
      <c r="X7" s="2">
        <f t="shared" si="4"/>
        <v>1.646635804810587E-2</v>
      </c>
      <c r="Y7" s="2">
        <f t="shared" si="1"/>
        <v>5.8638787963768628</v>
      </c>
      <c r="Z7" s="2">
        <f t="shared" si="2"/>
        <v>0.25690000000000002</v>
      </c>
      <c r="AA7" s="2">
        <f t="shared" si="3"/>
        <v>0.31869999999999998</v>
      </c>
    </row>
    <row r="8" spans="1:27" x14ac:dyDescent="0.25">
      <c r="A8" t="s">
        <v>34</v>
      </c>
      <c r="B8" t="s">
        <v>28</v>
      </c>
      <c r="C8" s="2">
        <v>0.68440000000000001</v>
      </c>
      <c r="D8" s="2">
        <v>0.69379999999999997</v>
      </c>
      <c r="E8" s="2">
        <v>0.6925</v>
      </c>
      <c r="F8" s="2">
        <v>0.68659999999999999</v>
      </c>
      <c r="G8" s="2">
        <v>0.70230000000000004</v>
      </c>
      <c r="H8" s="2">
        <v>0.76190000000000002</v>
      </c>
      <c r="I8" s="2">
        <v>0.73719999999999997</v>
      </c>
      <c r="J8" s="2">
        <v>0.70599999999999996</v>
      </c>
      <c r="K8" s="2">
        <v>0.71319999999999995</v>
      </c>
      <c r="L8" s="2">
        <v>0.70120000000000005</v>
      </c>
      <c r="M8" s="2">
        <v>0.71679999999999999</v>
      </c>
      <c r="N8" s="2">
        <v>0.72019999999999995</v>
      </c>
      <c r="O8" s="2">
        <v>0.71909999999999996</v>
      </c>
      <c r="P8" s="2">
        <v>0.72270000000000001</v>
      </c>
      <c r="Q8" s="2">
        <v>0.67859999999999998</v>
      </c>
      <c r="R8" s="2">
        <v>0.72970000000000002</v>
      </c>
      <c r="S8" s="2">
        <v>0.70189999999999997</v>
      </c>
      <c r="T8" s="2">
        <v>0.67879999999999996</v>
      </c>
      <c r="U8" s="2">
        <v>0.74990000000000001</v>
      </c>
      <c r="V8" s="2">
        <v>0.66710000000000003</v>
      </c>
      <c r="W8" s="2">
        <f t="shared" si="0"/>
        <v>0.70819499999999991</v>
      </c>
      <c r="X8" s="2">
        <f t="shared" si="4"/>
        <v>2.4647802827240533E-2</v>
      </c>
      <c r="Y8" s="2">
        <f t="shared" si="1"/>
        <v>3.4803695065964231</v>
      </c>
      <c r="Z8" s="2">
        <f t="shared" si="2"/>
        <v>0.66710000000000003</v>
      </c>
      <c r="AA8" s="2">
        <f t="shared" si="3"/>
        <v>0.76190000000000002</v>
      </c>
    </row>
    <row r="9" spans="1:27" x14ac:dyDescent="0.25">
      <c r="A9" t="s">
        <v>34</v>
      </c>
      <c r="B9" t="s">
        <v>29</v>
      </c>
      <c r="C9" s="2">
        <v>0.96819999999999995</v>
      </c>
      <c r="D9" s="2">
        <v>0.92390000000000005</v>
      </c>
      <c r="E9" s="2">
        <v>0.94640000000000002</v>
      </c>
      <c r="F9" s="2">
        <v>0.92789999999999995</v>
      </c>
      <c r="G9" s="2">
        <v>0.96140000000000003</v>
      </c>
      <c r="H9" s="2">
        <v>0.94099999999999995</v>
      </c>
      <c r="I9" s="2">
        <v>0.92659999999999998</v>
      </c>
      <c r="J9" s="2">
        <v>0.94430000000000003</v>
      </c>
      <c r="K9" s="2">
        <v>0.92549999999999999</v>
      </c>
      <c r="L9" s="2">
        <v>0.93789999999999996</v>
      </c>
      <c r="M9" s="2">
        <v>0.91279999999999994</v>
      </c>
      <c r="N9" s="2">
        <v>0.95630000000000004</v>
      </c>
      <c r="O9" s="2">
        <v>0.9032</v>
      </c>
      <c r="P9" s="2">
        <v>0.89929999999999999</v>
      </c>
      <c r="Q9" s="2">
        <v>0.94650000000000001</v>
      </c>
      <c r="R9" s="2">
        <v>0.97799999999999998</v>
      </c>
      <c r="S9" s="2">
        <v>0.93559999999999999</v>
      </c>
      <c r="T9" s="2">
        <v>0.97019999999999995</v>
      </c>
      <c r="U9" s="2">
        <v>0.92820000000000003</v>
      </c>
      <c r="V9" s="2">
        <v>0.91449999999999998</v>
      </c>
      <c r="W9" s="2">
        <f t="shared" si="0"/>
        <v>0.93738499999999991</v>
      </c>
      <c r="X9" s="2">
        <f t="shared" si="4"/>
        <v>2.2004934255274368E-2</v>
      </c>
      <c r="Y9" s="2">
        <f t="shared" si="1"/>
        <v>2.3474809448918394</v>
      </c>
      <c r="Z9" s="2">
        <f t="shared" si="2"/>
        <v>0.89929999999999999</v>
      </c>
      <c r="AA9" s="2">
        <f t="shared" si="3"/>
        <v>0.97799999999999998</v>
      </c>
    </row>
    <row r="10" spans="1:27" x14ac:dyDescent="0.25">
      <c r="A10" t="s">
        <v>34</v>
      </c>
      <c r="B10" t="s">
        <v>30</v>
      </c>
      <c r="C10" s="2">
        <v>5.6550000000000002</v>
      </c>
      <c r="D10" s="2">
        <v>5.6177000000000001</v>
      </c>
      <c r="E10" s="2">
        <v>6.0395000000000003</v>
      </c>
      <c r="F10" s="2">
        <v>6.1056999999999997</v>
      </c>
      <c r="G10" s="2">
        <v>6.0244999999999997</v>
      </c>
      <c r="H10" s="2">
        <v>6.1005000000000003</v>
      </c>
      <c r="I10" s="2">
        <v>5.7206000000000001</v>
      </c>
      <c r="J10" s="2">
        <v>5.8994</v>
      </c>
      <c r="K10" s="2">
        <v>5.8989000000000003</v>
      </c>
      <c r="L10" s="2">
        <v>6.1120999999999999</v>
      </c>
      <c r="M10" s="2">
        <v>6.0861000000000001</v>
      </c>
      <c r="N10" s="2">
        <v>5.7481</v>
      </c>
      <c r="O10" s="2">
        <v>6.4333999999999998</v>
      </c>
      <c r="P10" s="2">
        <v>5.915</v>
      </c>
      <c r="Q10" s="2">
        <v>5.7449000000000003</v>
      </c>
      <c r="R10" s="2">
        <v>6.0303000000000004</v>
      </c>
      <c r="S10" s="2">
        <v>6.1096000000000004</v>
      </c>
      <c r="T10" s="2">
        <v>6.0932000000000004</v>
      </c>
      <c r="U10" s="2">
        <v>6.0342000000000002</v>
      </c>
      <c r="V10" s="2">
        <v>5.8849999999999998</v>
      </c>
      <c r="W10" s="2">
        <f t="shared" si="0"/>
        <v>5.9626849999999996</v>
      </c>
      <c r="X10" s="2">
        <f t="shared" si="4"/>
        <v>0.19718415190668312</v>
      </c>
      <c r="Y10" s="2">
        <f t="shared" si="1"/>
        <v>3.3069691239212391</v>
      </c>
      <c r="Z10" s="2">
        <f t="shared" si="2"/>
        <v>5.6177000000000001</v>
      </c>
      <c r="AA10" s="2">
        <f t="shared" si="3"/>
        <v>6.4333999999999998</v>
      </c>
    </row>
    <row r="11" spans="1:27" x14ac:dyDescent="0.25">
      <c r="A11" t="s">
        <v>34</v>
      </c>
      <c r="B11" t="s">
        <v>31</v>
      </c>
      <c r="C11" s="2">
        <v>0.87639999999999996</v>
      </c>
      <c r="D11" s="2">
        <v>0.871</v>
      </c>
      <c r="E11" s="2">
        <v>0.878</v>
      </c>
      <c r="F11" s="2">
        <v>0.87829999999999997</v>
      </c>
      <c r="G11" s="2">
        <v>0.88270000000000004</v>
      </c>
      <c r="H11" s="2">
        <v>0.87860000000000005</v>
      </c>
      <c r="I11" s="2">
        <v>0.88539999999999996</v>
      </c>
      <c r="J11" s="2">
        <v>0.87839999999999996</v>
      </c>
      <c r="K11" s="2">
        <v>0.88380000000000003</v>
      </c>
      <c r="L11" s="2">
        <v>0.87490000000000001</v>
      </c>
      <c r="M11" s="2">
        <v>0.87539999999999996</v>
      </c>
      <c r="N11" s="2">
        <v>0.88460000000000005</v>
      </c>
      <c r="O11" s="2">
        <v>0.87629999999999997</v>
      </c>
      <c r="P11" s="2">
        <v>0.875</v>
      </c>
      <c r="Q11" s="2">
        <v>0.88419999999999999</v>
      </c>
      <c r="R11" s="2">
        <v>0.88429999999999997</v>
      </c>
      <c r="S11" s="2">
        <v>0.86880000000000002</v>
      </c>
      <c r="T11" s="2">
        <v>0.87949999999999995</v>
      </c>
      <c r="U11" s="2">
        <v>0.8861</v>
      </c>
      <c r="V11" s="2">
        <v>0.88009999999999999</v>
      </c>
      <c r="W11" s="2">
        <f t="shared" si="0"/>
        <v>0.87909000000000004</v>
      </c>
      <c r="X11" s="2">
        <f t="shared" si="4"/>
        <v>4.8436502111962095E-3</v>
      </c>
      <c r="Y11" s="2">
        <f t="shared" si="1"/>
        <v>0.55098456485640945</v>
      </c>
      <c r="Z11" s="2">
        <f t="shared" si="2"/>
        <v>0.86880000000000002</v>
      </c>
      <c r="AA11" s="2">
        <f t="shared" si="3"/>
        <v>0.8861</v>
      </c>
    </row>
    <row r="12" spans="1:27" x14ac:dyDescent="0.25">
      <c r="A12" t="s">
        <v>34</v>
      </c>
      <c r="B12" t="s">
        <v>32</v>
      </c>
      <c r="C12" s="2">
        <v>95.776200000000003</v>
      </c>
      <c r="D12" s="2">
        <v>95.918199999999999</v>
      </c>
      <c r="E12" s="2">
        <v>95.087599999999995</v>
      </c>
      <c r="F12" s="2">
        <v>94.853899999999996</v>
      </c>
      <c r="G12" s="2">
        <v>95.213399999999993</v>
      </c>
      <c r="H12" s="2">
        <v>94.634</v>
      </c>
      <c r="I12" s="2">
        <v>95.071299999999994</v>
      </c>
      <c r="J12" s="2">
        <v>94.469200000000001</v>
      </c>
      <c r="K12" s="2">
        <v>95.280100000000004</v>
      </c>
      <c r="L12" s="2">
        <v>94.4649</v>
      </c>
      <c r="M12" s="2">
        <v>95.790199999999999</v>
      </c>
      <c r="N12" s="2">
        <v>94.469200000000001</v>
      </c>
      <c r="O12" s="2">
        <v>95.902900000000002</v>
      </c>
      <c r="P12" s="2">
        <v>94.387900000000002</v>
      </c>
      <c r="Q12" s="2">
        <v>94.309399999999997</v>
      </c>
      <c r="R12" s="2">
        <v>95.471299999999999</v>
      </c>
      <c r="S12" s="2">
        <v>94.281700000000001</v>
      </c>
      <c r="T12" s="2">
        <v>93.956100000000006</v>
      </c>
      <c r="U12" s="2">
        <v>95.145099999999999</v>
      </c>
      <c r="V12" s="2">
        <v>94.834199999999996</v>
      </c>
      <c r="W12" s="2">
        <f t="shared" si="0"/>
        <v>94.965839999999986</v>
      </c>
      <c r="X12" s="2">
        <f t="shared" si="4"/>
        <v>0.59523156696851087</v>
      </c>
      <c r="Y12" s="2">
        <f t="shared" si="1"/>
        <v>0.6267849228401613</v>
      </c>
      <c r="Z12" s="2">
        <f t="shared" si="2"/>
        <v>93.956100000000006</v>
      </c>
      <c r="AA12" s="2">
        <f t="shared" si="3"/>
        <v>95.918199999999999</v>
      </c>
    </row>
    <row r="13" spans="1:27" x14ac:dyDescent="0.25">
      <c r="A13" t="s">
        <v>34</v>
      </c>
      <c r="B13" t="s">
        <v>33</v>
      </c>
      <c r="C13" s="2">
        <v>0.24260000000000001</v>
      </c>
      <c r="D13" s="2">
        <v>0.2228</v>
      </c>
      <c r="E13" s="2">
        <v>0.22090000000000001</v>
      </c>
      <c r="F13" s="2">
        <v>0.22309999999999999</v>
      </c>
      <c r="G13" s="2">
        <v>0.22509999999999999</v>
      </c>
      <c r="H13" s="2">
        <v>0.24440000000000001</v>
      </c>
      <c r="I13" s="2">
        <v>0.22720000000000001</v>
      </c>
      <c r="J13" s="2">
        <v>0.25459999999999999</v>
      </c>
      <c r="K13" s="2">
        <v>0.24929999999999999</v>
      </c>
      <c r="L13" s="2">
        <v>0.23580000000000001</v>
      </c>
      <c r="M13" s="2">
        <v>0.2465</v>
      </c>
      <c r="N13" s="2">
        <v>0.21390000000000001</v>
      </c>
      <c r="O13" s="2">
        <v>0.2455</v>
      </c>
      <c r="P13" s="2">
        <v>0.21510000000000001</v>
      </c>
      <c r="Q13" s="2">
        <v>0.21740000000000001</v>
      </c>
      <c r="R13" s="2">
        <v>0.24460000000000001</v>
      </c>
      <c r="S13" s="2">
        <v>0.23649999999999999</v>
      </c>
      <c r="T13" s="2">
        <v>0.21990000000000001</v>
      </c>
      <c r="U13" s="2">
        <v>0.21609999999999999</v>
      </c>
      <c r="V13" s="2">
        <v>0.21679999999999999</v>
      </c>
      <c r="W13" s="2">
        <f t="shared" si="0"/>
        <v>0.230905</v>
      </c>
      <c r="X13" s="2">
        <f t="shared" si="4"/>
        <v>1.3479984187090521E-2</v>
      </c>
      <c r="Y13" s="2">
        <f t="shared" si="1"/>
        <v>5.8378918546980447</v>
      </c>
      <c r="Z13" s="2">
        <f t="shared" si="2"/>
        <v>0.21390000000000001</v>
      </c>
      <c r="AA13" s="2">
        <f t="shared" si="3"/>
        <v>0.25459999999999999</v>
      </c>
    </row>
    <row r="14" spans="1:27" x14ac:dyDescent="0.25">
      <c r="A14" t="s">
        <v>35</v>
      </c>
      <c r="B14" t="s">
        <v>28</v>
      </c>
      <c r="C14" s="2">
        <v>0.76549999999999996</v>
      </c>
      <c r="D14" s="2">
        <v>0.77349999999999997</v>
      </c>
      <c r="E14" s="2">
        <v>0.78590000000000004</v>
      </c>
      <c r="F14" s="2">
        <v>0.75580000000000003</v>
      </c>
      <c r="G14" s="2">
        <v>0.8014</v>
      </c>
      <c r="H14" s="2">
        <v>0.78900000000000003</v>
      </c>
      <c r="I14" s="2">
        <v>0.82289999999999996</v>
      </c>
      <c r="J14" s="2">
        <v>0.87860000000000005</v>
      </c>
      <c r="K14" s="2">
        <v>0.76039999999999996</v>
      </c>
      <c r="L14" s="2">
        <v>0.75209999999999999</v>
      </c>
      <c r="M14" s="2">
        <v>0.6956</v>
      </c>
      <c r="N14" s="2">
        <v>0.79669999999999996</v>
      </c>
      <c r="O14" s="2">
        <v>0.76029999999999998</v>
      </c>
      <c r="P14" s="2">
        <v>0.82150000000000001</v>
      </c>
      <c r="Q14" s="2">
        <v>0.76939999999999997</v>
      </c>
      <c r="R14" s="2">
        <v>0.78979999999999995</v>
      </c>
      <c r="S14" s="2">
        <v>0.81410000000000005</v>
      </c>
      <c r="T14" s="2">
        <v>0.77180000000000004</v>
      </c>
      <c r="U14" s="2">
        <v>0.77580000000000005</v>
      </c>
      <c r="V14" s="2">
        <v>0.77610000000000001</v>
      </c>
      <c r="W14" s="2">
        <f t="shared" si="0"/>
        <v>0.78280999999999989</v>
      </c>
      <c r="X14" s="2">
        <f t="shared" si="4"/>
        <v>3.6246827810386247E-2</v>
      </c>
      <c r="Y14" s="2">
        <f t="shared" si="1"/>
        <v>4.6303480806819337</v>
      </c>
      <c r="Z14" s="2">
        <f t="shared" si="2"/>
        <v>0.6956</v>
      </c>
      <c r="AA14" s="2">
        <f t="shared" si="3"/>
        <v>0.87860000000000005</v>
      </c>
    </row>
    <row r="15" spans="1:27" x14ac:dyDescent="0.25">
      <c r="A15" t="s">
        <v>35</v>
      </c>
      <c r="B15" t="s">
        <v>29</v>
      </c>
      <c r="C15" s="2">
        <v>1.105</v>
      </c>
      <c r="D15" s="2">
        <v>0.98509999999999998</v>
      </c>
      <c r="E15" s="2">
        <v>1.0833999999999999</v>
      </c>
      <c r="F15" s="2">
        <v>1.0404</v>
      </c>
      <c r="G15" s="2">
        <v>0.99050000000000005</v>
      </c>
      <c r="H15" s="2">
        <v>1.0329999999999999</v>
      </c>
      <c r="I15" s="2">
        <v>1.0528</v>
      </c>
      <c r="J15" s="2">
        <v>1.0566</v>
      </c>
      <c r="K15" s="2">
        <v>1.006</v>
      </c>
      <c r="L15" s="2">
        <v>1.0345</v>
      </c>
      <c r="M15" s="2">
        <v>1.0405</v>
      </c>
      <c r="N15" s="2">
        <v>1.0119</v>
      </c>
      <c r="O15" s="2">
        <v>1.0894999999999999</v>
      </c>
      <c r="P15" s="2">
        <v>1.0244</v>
      </c>
      <c r="Q15" s="2">
        <v>1.0331999999999999</v>
      </c>
      <c r="R15" s="2">
        <v>1.0235000000000001</v>
      </c>
      <c r="S15" s="2">
        <v>1.0739000000000001</v>
      </c>
      <c r="T15" s="2">
        <v>1.0511999999999999</v>
      </c>
      <c r="U15" s="2">
        <v>0.96840000000000004</v>
      </c>
      <c r="V15" s="2">
        <v>1.0742</v>
      </c>
      <c r="W15" s="2">
        <f t="shared" si="0"/>
        <v>1.0388999999999999</v>
      </c>
      <c r="X15" s="2">
        <f t="shared" si="4"/>
        <v>3.5979701879926961E-2</v>
      </c>
      <c r="Y15" s="2">
        <f t="shared" si="1"/>
        <v>3.4632497718670678</v>
      </c>
      <c r="Z15" s="2">
        <f t="shared" si="2"/>
        <v>0.96840000000000004</v>
      </c>
      <c r="AA15" s="2">
        <f t="shared" si="3"/>
        <v>1.105</v>
      </c>
    </row>
    <row r="16" spans="1:27" x14ac:dyDescent="0.25">
      <c r="A16" t="s">
        <v>35</v>
      </c>
      <c r="B16" t="s">
        <v>30</v>
      </c>
      <c r="C16" s="2">
        <v>6.3955000000000002</v>
      </c>
      <c r="D16" s="2">
        <v>6.6273</v>
      </c>
      <c r="E16" s="2">
        <v>7.0810000000000004</v>
      </c>
      <c r="F16" s="2">
        <v>6.4025999999999996</v>
      </c>
      <c r="G16" s="2">
        <v>6.8746</v>
      </c>
      <c r="H16" s="2">
        <v>6.8651999999999997</v>
      </c>
      <c r="I16" s="2">
        <v>6.4771000000000001</v>
      </c>
      <c r="J16" s="2">
        <v>6.2030000000000003</v>
      </c>
      <c r="K16" s="2">
        <v>6.4420999999999999</v>
      </c>
      <c r="L16" s="2">
        <v>5.984</v>
      </c>
      <c r="M16" s="2">
        <v>6.3884999999999996</v>
      </c>
      <c r="N16" s="2">
        <v>7.2694000000000001</v>
      </c>
      <c r="O16" s="2">
        <v>6.7750000000000004</v>
      </c>
      <c r="P16" s="2">
        <v>6.7979000000000003</v>
      </c>
      <c r="Q16" s="2">
        <v>6.9265999999999996</v>
      </c>
      <c r="R16" s="2">
        <v>6.6795</v>
      </c>
      <c r="S16" s="2">
        <v>6.7557</v>
      </c>
      <c r="T16" s="2">
        <v>6.5324</v>
      </c>
      <c r="U16" s="2">
        <v>6.5747999999999998</v>
      </c>
      <c r="V16" s="2">
        <v>6.8159000000000001</v>
      </c>
      <c r="W16" s="2">
        <f t="shared" si="0"/>
        <v>6.6434049999999996</v>
      </c>
      <c r="X16" s="2">
        <f t="shared" si="4"/>
        <v>0.30346398117144163</v>
      </c>
      <c r="Y16" s="2">
        <f t="shared" si="1"/>
        <v>4.567898256563339</v>
      </c>
      <c r="Z16" s="2">
        <f t="shared" si="2"/>
        <v>5.984</v>
      </c>
      <c r="AA16" s="2">
        <f t="shared" si="3"/>
        <v>7.2694000000000001</v>
      </c>
    </row>
    <row r="17" spans="1:27" x14ac:dyDescent="0.25">
      <c r="A17" t="s">
        <v>35</v>
      </c>
      <c r="B17" t="s">
        <v>31</v>
      </c>
      <c r="C17" s="2">
        <v>0.85750000000000004</v>
      </c>
      <c r="D17" s="2">
        <v>0.86260000000000003</v>
      </c>
      <c r="E17" s="2">
        <v>0.872</v>
      </c>
      <c r="F17" s="2">
        <v>0.86760000000000004</v>
      </c>
      <c r="G17" s="2">
        <v>0.85829999999999995</v>
      </c>
      <c r="H17" s="2">
        <v>0.87460000000000004</v>
      </c>
      <c r="I17" s="2">
        <v>0.86319999999999997</v>
      </c>
      <c r="J17" s="2">
        <v>0.86799999999999999</v>
      </c>
      <c r="K17" s="2">
        <v>0.86639999999999995</v>
      </c>
      <c r="L17" s="2">
        <v>0.86499999999999999</v>
      </c>
      <c r="M17" s="2">
        <v>0.86739999999999995</v>
      </c>
      <c r="N17" s="2">
        <v>0.87309999999999999</v>
      </c>
      <c r="O17" s="2">
        <v>0.86280000000000001</v>
      </c>
      <c r="P17" s="2">
        <v>0.86360000000000003</v>
      </c>
      <c r="Q17" s="2">
        <v>0.87709999999999999</v>
      </c>
      <c r="R17" s="2">
        <v>0.86270000000000002</v>
      </c>
      <c r="S17" s="2">
        <v>0.87029999999999996</v>
      </c>
      <c r="T17" s="2">
        <v>0.87070000000000003</v>
      </c>
      <c r="U17" s="2">
        <v>0.87239999999999995</v>
      </c>
      <c r="V17" s="2">
        <v>0.86799999999999999</v>
      </c>
      <c r="W17" s="2">
        <f t="shared" si="0"/>
        <v>0.86716499999999974</v>
      </c>
      <c r="X17" s="2">
        <f t="shared" si="4"/>
        <v>5.2789826571733311E-3</v>
      </c>
      <c r="Y17" s="2">
        <f t="shared" si="1"/>
        <v>0.60876334459685666</v>
      </c>
      <c r="Z17" s="2">
        <f t="shared" si="2"/>
        <v>0.85750000000000004</v>
      </c>
      <c r="AA17" s="2">
        <f t="shared" si="3"/>
        <v>0.87709999999999999</v>
      </c>
    </row>
    <row r="18" spans="1:27" x14ac:dyDescent="0.25">
      <c r="A18" t="s">
        <v>35</v>
      </c>
      <c r="B18" t="s">
        <v>32</v>
      </c>
      <c r="C18" s="2">
        <v>95.126099999999994</v>
      </c>
      <c r="D18" s="2">
        <v>93.795100000000005</v>
      </c>
      <c r="E18" s="2">
        <v>94.553200000000004</v>
      </c>
      <c r="F18" s="2">
        <v>93.385800000000003</v>
      </c>
      <c r="G18" s="2">
        <v>94.569000000000003</v>
      </c>
      <c r="H18" s="2">
        <v>94.199399999999997</v>
      </c>
      <c r="I18" s="2">
        <v>94.946200000000005</v>
      </c>
      <c r="J18" s="2">
        <v>96.18</v>
      </c>
      <c r="K18" s="2">
        <v>95.091499999999996</v>
      </c>
      <c r="L18" s="2">
        <v>94.433999999999997</v>
      </c>
      <c r="M18" s="2">
        <v>93.661500000000004</v>
      </c>
      <c r="N18" s="2">
        <v>94.991100000000003</v>
      </c>
      <c r="O18" s="2">
        <v>94.387500000000003</v>
      </c>
      <c r="P18" s="2">
        <v>94.096400000000003</v>
      </c>
      <c r="Q18" s="2">
        <v>95.455399999999997</v>
      </c>
      <c r="R18" s="2">
        <v>96.360500000000002</v>
      </c>
      <c r="S18" s="2">
        <v>94.490200000000002</v>
      </c>
      <c r="T18" s="2">
        <v>94.903400000000005</v>
      </c>
      <c r="U18" s="2">
        <v>94.335899999999995</v>
      </c>
      <c r="V18" s="2">
        <v>93.6023</v>
      </c>
      <c r="W18" s="2">
        <f t="shared" si="0"/>
        <v>94.628224999999986</v>
      </c>
      <c r="X18" s="2">
        <f t="shared" si="4"/>
        <v>0.78689429228889562</v>
      </c>
      <c r="Y18" s="2">
        <f t="shared" si="1"/>
        <v>0.83156404158367736</v>
      </c>
      <c r="Z18" s="2">
        <f t="shared" si="2"/>
        <v>93.385800000000003</v>
      </c>
      <c r="AA18" s="2">
        <f t="shared" si="3"/>
        <v>96.360500000000002</v>
      </c>
    </row>
    <row r="19" spans="1:27" x14ac:dyDescent="0.25">
      <c r="A19" t="s">
        <v>35</v>
      </c>
      <c r="B19" t="s">
        <v>33</v>
      </c>
      <c r="C19" s="2">
        <v>0.25530000000000003</v>
      </c>
      <c r="D19" s="2">
        <v>0.2288</v>
      </c>
      <c r="E19" s="2">
        <v>0.255</v>
      </c>
      <c r="F19" s="2">
        <v>0.2445</v>
      </c>
      <c r="G19" s="2">
        <v>0.25829999999999997</v>
      </c>
      <c r="H19" s="2">
        <v>0.25090000000000001</v>
      </c>
      <c r="I19" s="2">
        <v>0.25569999999999998</v>
      </c>
      <c r="J19" s="2">
        <v>0.24610000000000001</v>
      </c>
      <c r="K19" s="2">
        <v>0.27260000000000001</v>
      </c>
      <c r="L19" s="2">
        <v>0.2472</v>
      </c>
      <c r="M19" s="2">
        <v>0.26629999999999998</v>
      </c>
      <c r="N19" s="2">
        <v>0.24</v>
      </c>
      <c r="O19" s="2">
        <v>0.23419999999999999</v>
      </c>
      <c r="P19" s="2">
        <v>0.25929999999999997</v>
      </c>
      <c r="Q19" s="2">
        <v>0.25080000000000002</v>
      </c>
      <c r="R19" s="2">
        <v>0.2707</v>
      </c>
      <c r="S19" s="2">
        <v>0.23930000000000001</v>
      </c>
      <c r="T19" s="2">
        <v>0.26690000000000003</v>
      </c>
      <c r="U19" s="2">
        <v>0.25640000000000002</v>
      </c>
      <c r="V19" s="2">
        <v>0.25719999999999998</v>
      </c>
      <c r="W19" s="2">
        <f t="shared" si="0"/>
        <v>0.25277499999999997</v>
      </c>
      <c r="X19" s="2">
        <f t="shared" si="4"/>
        <v>1.1784507001277476E-2</v>
      </c>
      <c r="Y19" s="2">
        <f t="shared" si="1"/>
        <v>4.6620540010987943</v>
      </c>
      <c r="Z19" s="2">
        <f t="shared" si="2"/>
        <v>0.2288</v>
      </c>
      <c r="AA19" s="2">
        <f t="shared" si="3"/>
        <v>0.27260000000000001</v>
      </c>
    </row>
    <row r="20" spans="1:27" x14ac:dyDescent="0.25">
      <c r="A20" t="s">
        <v>36</v>
      </c>
      <c r="B20" t="s">
        <v>28</v>
      </c>
      <c r="C20" s="2">
        <v>0.56569999999999998</v>
      </c>
      <c r="D20" s="2">
        <v>0.59750000000000003</v>
      </c>
      <c r="E20" s="2">
        <v>0.59189999999999998</v>
      </c>
      <c r="F20" s="2">
        <v>0.58430000000000004</v>
      </c>
      <c r="G20" s="2">
        <v>0.56320000000000003</v>
      </c>
      <c r="H20" s="2">
        <v>0.58430000000000004</v>
      </c>
      <c r="I20" s="2">
        <v>0.56530000000000002</v>
      </c>
      <c r="J20" s="2">
        <v>0.52900000000000003</v>
      </c>
      <c r="K20" s="2">
        <v>0.57030000000000003</v>
      </c>
      <c r="L20" s="2">
        <v>0.55320000000000003</v>
      </c>
      <c r="M20" s="2">
        <v>0.56569999999999998</v>
      </c>
      <c r="N20" s="2">
        <v>0.55900000000000005</v>
      </c>
      <c r="O20" s="2">
        <v>0.56559999999999999</v>
      </c>
      <c r="P20" s="2">
        <v>0.57699999999999996</v>
      </c>
      <c r="Q20" s="2">
        <v>0.57969999999999999</v>
      </c>
      <c r="R20" s="2">
        <v>0.56569999999999998</v>
      </c>
      <c r="S20" s="2">
        <v>0.59230000000000005</v>
      </c>
      <c r="T20" s="2">
        <v>0.58940000000000003</v>
      </c>
      <c r="U20" s="2">
        <v>0.56040000000000001</v>
      </c>
      <c r="V20" s="2">
        <v>0.57240000000000002</v>
      </c>
      <c r="W20" s="2">
        <f t="shared" si="0"/>
        <v>0.57159499999999996</v>
      </c>
      <c r="X20" s="2">
        <f t="shared" si="4"/>
        <v>1.6118164809993268E-2</v>
      </c>
      <c r="Y20" s="2">
        <f t="shared" si="1"/>
        <v>2.8198575582349861</v>
      </c>
      <c r="Z20" s="2">
        <f t="shared" si="2"/>
        <v>0.52900000000000003</v>
      </c>
      <c r="AA20" s="2">
        <f t="shared" si="3"/>
        <v>0.59750000000000003</v>
      </c>
    </row>
    <row r="21" spans="1:27" x14ac:dyDescent="0.25">
      <c r="A21" t="s">
        <v>36</v>
      </c>
      <c r="B21" t="s">
        <v>29</v>
      </c>
      <c r="C21" s="2">
        <v>0.76359999999999995</v>
      </c>
      <c r="D21" s="2">
        <v>0.7732</v>
      </c>
      <c r="E21" s="2">
        <v>0.72199999999999998</v>
      </c>
      <c r="F21" s="2">
        <v>0.72940000000000005</v>
      </c>
      <c r="G21" s="2">
        <v>0.76170000000000004</v>
      </c>
      <c r="H21" s="2">
        <v>0.7419</v>
      </c>
      <c r="I21" s="2">
        <v>0.72240000000000004</v>
      </c>
      <c r="J21" s="2">
        <v>0.75360000000000005</v>
      </c>
      <c r="K21" s="2">
        <v>0.77090000000000003</v>
      </c>
      <c r="L21" s="2">
        <v>0.74439999999999995</v>
      </c>
      <c r="M21" s="2">
        <v>0.7319</v>
      </c>
      <c r="N21" s="2">
        <v>0.7772</v>
      </c>
      <c r="O21" s="2">
        <v>0.7974</v>
      </c>
      <c r="P21" s="2">
        <v>0.78800000000000003</v>
      </c>
      <c r="Q21" s="2">
        <v>0.73340000000000005</v>
      </c>
      <c r="R21" s="2">
        <v>0.78849999999999998</v>
      </c>
      <c r="S21" s="2">
        <v>0.79420000000000002</v>
      </c>
      <c r="T21" s="2">
        <v>0.74299999999999999</v>
      </c>
      <c r="U21" s="2">
        <v>0.75729999999999997</v>
      </c>
      <c r="V21" s="2">
        <v>0.7288</v>
      </c>
      <c r="W21" s="2">
        <f t="shared" si="0"/>
        <v>0.75614000000000003</v>
      </c>
      <c r="X21" s="2">
        <f t="shared" si="4"/>
        <v>2.4756017875511228E-2</v>
      </c>
      <c r="Y21" s="2">
        <f t="shared" si="1"/>
        <v>3.2739992429326881</v>
      </c>
      <c r="Z21" s="2">
        <f t="shared" si="2"/>
        <v>0.72199999999999998</v>
      </c>
      <c r="AA21" s="2">
        <f t="shared" si="3"/>
        <v>0.7974</v>
      </c>
    </row>
    <row r="22" spans="1:27" x14ac:dyDescent="0.25">
      <c r="A22" t="s">
        <v>36</v>
      </c>
      <c r="B22" t="s">
        <v>30</v>
      </c>
      <c r="C22" s="2">
        <v>4.8030999999999997</v>
      </c>
      <c r="D22" s="2">
        <v>5.0549999999999997</v>
      </c>
      <c r="E22" s="2">
        <v>4.7153999999999998</v>
      </c>
      <c r="F22" s="2">
        <v>5.3064999999999998</v>
      </c>
      <c r="G22" s="2">
        <v>5.0057999999999998</v>
      </c>
      <c r="H22" s="2">
        <v>5.0616000000000003</v>
      </c>
      <c r="I22" s="2">
        <v>4.5838999999999999</v>
      </c>
      <c r="J22" s="2">
        <v>4.9325999999999999</v>
      </c>
      <c r="K22" s="2">
        <v>4.9322999999999997</v>
      </c>
      <c r="L22" s="2">
        <v>4.6215999999999999</v>
      </c>
      <c r="M22" s="2">
        <v>4.7747999999999999</v>
      </c>
      <c r="N22" s="2">
        <v>5.0050999999999997</v>
      </c>
      <c r="O22" s="2">
        <v>4.3531000000000004</v>
      </c>
      <c r="P22" s="2">
        <v>4.8917999999999999</v>
      </c>
      <c r="Q22" s="2">
        <v>4.6584000000000003</v>
      </c>
      <c r="R22" s="2">
        <v>4.6649000000000003</v>
      </c>
      <c r="S22" s="2">
        <v>4.8273000000000001</v>
      </c>
      <c r="T22" s="2">
        <v>4.9593999999999996</v>
      </c>
      <c r="U22" s="2">
        <v>4.8437000000000001</v>
      </c>
      <c r="V22" s="2">
        <v>4.6308999999999996</v>
      </c>
      <c r="W22" s="2">
        <f t="shared" si="0"/>
        <v>4.8313599999999992</v>
      </c>
      <c r="X22" s="2">
        <f t="shared" si="4"/>
        <v>0.21512220125706263</v>
      </c>
      <c r="Y22" s="2">
        <f t="shared" si="1"/>
        <v>4.4526220620500778</v>
      </c>
      <c r="Z22" s="2">
        <f t="shared" si="2"/>
        <v>4.3531000000000004</v>
      </c>
      <c r="AA22" s="2">
        <f t="shared" si="3"/>
        <v>5.3064999999999998</v>
      </c>
    </row>
    <row r="23" spans="1:27" x14ac:dyDescent="0.25">
      <c r="A23" t="s">
        <v>36</v>
      </c>
      <c r="B23" t="s">
        <v>31</v>
      </c>
      <c r="C23" s="2">
        <v>0.89339999999999997</v>
      </c>
      <c r="D23" s="2">
        <v>0.90169999999999995</v>
      </c>
      <c r="E23" s="2">
        <v>0.90890000000000004</v>
      </c>
      <c r="F23" s="2">
        <v>0.90210000000000001</v>
      </c>
      <c r="G23" s="2">
        <v>0.90169999999999995</v>
      </c>
      <c r="H23" s="2">
        <v>0.90590000000000004</v>
      </c>
      <c r="I23" s="2">
        <v>0.90739999999999998</v>
      </c>
      <c r="J23" s="2">
        <v>0.90059999999999996</v>
      </c>
      <c r="K23" s="2">
        <v>0.90080000000000005</v>
      </c>
      <c r="L23" s="2">
        <v>0.90149999999999997</v>
      </c>
      <c r="M23" s="2">
        <v>0.90559999999999996</v>
      </c>
      <c r="N23" s="2">
        <v>0.90780000000000005</v>
      </c>
      <c r="O23" s="2">
        <v>0.91759999999999997</v>
      </c>
      <c r="P23" s="2">
        <v>0.90110000000000001</v>
      </c>
      <c r="Q23" s="2">
        <v>0.89590000000000003</v>
      </c>
      <c r="R23" s="2">
        <v>0.90229999999999999</v>
      </c>
      <c r="S23" s="2">
        <v>0.90410000000000001</v>
      </c>
      <c r="T23" s="2">
        <v>0.90359999999999996</v>
      </c>
      <c r="U23" s="2">
        <v>0.89370000000000005</v>
      </c>
      <c r="V23" s="2">
        <v>0.90459999999999996</v>
      </c>
      <c r="W23" s="2">
        <f t="shared" si="0"/>
        <v>0.90301499999999968</v>
      </c>
      <c r="X23" s="2">
        <f t="shared" si="4"/>
        <v>5.4283151403688662E-3</v>
      </c>
      <c r="Y23" s="2">
        <f t="shared" si="1"/>
        <v>0.60113233339079286</v>
      </c>
      <c r="Z23" s="2">
        <f t="shared" si="2"/>
        <v>0.89339999999999997</v>
      </c>
      <c r="AA23" s="2">
        <f t="shared" si="3"/>
        <v>0.91759999999999997</v>
      </c>
    </row>
    <row r="24" spans="1:27" x14ac:dyDescent="0.25">
      <c r="A24" t="s">
        <v>36</v>
      </c>
      <c r="B24" t="s">
        <v>32</v>
      </c>
      <c r="C24" s="2">
        <v>94.531800000000004</v>
      </c>
      <c r="D24" s="2">
        <v>95.605699999999999</v>
      </c>
      <c r="E24" s="2">
        <v>95.630200000000002</v>
      </c>
      <c r="F24" s="2">
        <v>95.016999999999996</v>
      </c>
      <c r="G24" s="2">
        <v>94.878500000000003</v>
      </c>
      <c r="H24" s="2">
        <v>96.0017</v>
      </c>
      <c r="I24" s="2">
        <v>95.137200000000007</v>
      </c>
      <c r="J24" s="2">
        <v>95.027199999999993</v>
      </c>
      <c r="K24" s="2">
        <v>94.417000000000002</v>
      </c>
      <c r="L24" s="2">
        <v>94.126300000000001</v>
      </c>
      <c r="M24" s="2">
        <v>95.665099999999995</v>
      </c>
      <c r="N24" s="2">
        <v>95.225099999999998</v>
      </c>
      <c r="O24" s="2">
        <v>95.123099999999994</v>
      </c>
      <c r="P24" s="2">
        <v>95.152199999999993</v>
      </c>
      <c r="Q24" s="2">
        <v>95.212999999999994</v>
      </c>
      <c r="R24" s="2">
        <v>95.394499999999994</v>
      </c>
      <c r="S24" s="2">
        <v>94.855900000000005</v>
      </c>
      <c r="T24" s="2">
        <v>95.288700000000006</v>
      </c>
      <c r="U24" s="2">
        <v>94.852699999999999</v>
      </c>
      <c r="V24" s="2">
        <v>95.469800000000006</v>
      </c>
      <c r="W24" s="2">
        <f t="shared" si="0"/>
        <v>95.130634999999998</v>
      </c>
      <c r="X24" s="2">
        <f t="shared" si="4"/>
        <v>0.45085017732583421</v>
      </c>
      <c r="Y24" s="2">
        <f t="shared" si="1"/>
        <v>0.47392743391845771</v>
      </c>
      <c r="Z24" s="2">
        <f t="shared" si="2"/>
        <v>94.126300000000001</v>
      </c>
      <c r="AA24" s="2">
        <f t="shared" si="3"/>
        <v>96.0017</v>
      </c>
    </row>
    <row r="25" spans="1:27" x14ac:dyDescent="0.25">
      <c r="A25" t="s">
        <v>36</v>
      </c>
      <c r="B25" t="s">
        <v>33</v>
      </c>
      <c r="C25" s="2">
        <v>0.185</v>
      </c>
      <c r="D25" s="2">
        <v>0.17960000000000001</v>
      </c>
      <c r="E25" s="2">
        <v>0.16339999999999999</v>
      </c>
      <c r="F25" s="2">
        <v>0.17829999999999999</v>
      </c>
      <c r="G25" s="2">
        <v>0.17710000000000001</v>
      </c>
      <c r="H25" s="2">
        <v>0.17749999999999999</v>
      </c>
      <c r="I25" s="2">
        <v>0.1797</v>
      </c>
      <c r="J25" s="2">
        <v>0.18179999999999999</v>
      </c>
      <c r="K25" s="2">
        <v>0.1792</v>
      </c>
      <c r="L25" s="2">
        <v>0.16700000000000001</v>
      </c>
      <c r="M25" s="2">
        <v>0.18129999999999999</v>
      </c>
      <c r="N25" s="2">
        <v>0.18310000000000001</v>
      </c>
      <c r="O25" s="2">
        <v>0.17949999999999999</v>
      </c>
      <c r="P25" s="2">
        <v>0.19020000000000001</v>
      </c>
      <c r="Q25" s="2">
        <v>0.19819999999999999</v>
      </c>
      <c r="R25" s="2">
        <v>0.17119999999999999</v>
      </c>
      <c r="S25" s="2">
        <v>0.19800000000000001</v>
      </c>
      <c r="T25" s="2">
        <v>0.18429999999999999</v>
      </c>
      <c r="U25" s="2">
        <v>0.18759999999999999</v>
      </c>
      <c r="V25" s="2">
        <v>0.18</v>
      </c>
      <c r="W25" s="2">
        <f t="shared" si="0"/>
        <v>0.18109999999999998</v>
      </c>
      <c r="X25" s="2">
        <f t="shared" si="4"/>
        <v>8.5580371581338681E-3</v>
      </c>
      <c r="Y25" s="2">
        <f t="shared" si="1"/>
        <v>4.7255865036630968</v>
      </c>
      <c r="Z25" s="2">
        <f t="shared" si="2"/>
        <v>0.16339999999999999</v>
      </c>
      <c r="AA25" s="2">
        <f t="shared" si="3"/>
        <v>0.19819999999999999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I1" sqref="I1:I1048576"/>
    </sheetView>
  </sheetViews>
  <sheetFormatPr defaultRowHeight="15" x14ac:dyDescent="0.25"/>
  <cols>
    <col min="1" max="1" width="22" customWidth="1"/>
    <col min="2" max="7" width="18" customWidth="1"/>
  </cols>
  <sheetData>
    <row r="1" spans="1:7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25">
      <c r="A2" t="s">
        <v>27</v>
      </c>
      <c r="B2" t="str">
        <f>TEXT(Results_Table4!W2,"0.000")&amp;" ± "&amp;TEXT(Results_Table4!X2,"0.000")</f>
        <v>0.849 ± 0.036</v>
      </c>
      <c r="C2" t="str">
        <f>TEXT(Results_Table4!W3,"0.000")&amp;" ± "&amp;TEXT(Results_Table4!X3,"0.000")</f>
        <v>1.127 ± 0.046</v>
      </c>
      <c r="D2" t="str">
        <f>TEXT(Results_Table4!W4,"0.000")&amp;" ± "&amp;TEXT(Results_Table4!X4,"0.000")</f>
        <v>7.162 ± 0.346</v>
      </c>
      <c r="E2" t="str">
        <f>TEXT(Results_Table4!W5,"0.000")&amp;" ± "&amp;TEXT(Results_Table4!X5,"0.000")</f>
        <v>0.856 ± 0.009</v>
      </c>
      <c r="F2" t="str">
        <f>TEXT(Results_Table4!W6,"0.000")&amp;" ± "&amp;TEXT(Results_Table4!X6,"0.000")</f>
        <v>94.681 ± 0.883</v>
      </c>
      <c r="G2" t="str">
        <f>TEXT(Results_Table4!W7,"0.000")&amp;" ± "&amp;TEXT(Results_Table4!X7,"0.000")</f>
        <v>0.281 ± 0.016</v>
      </c>
    </row>
    <row r="3" spans="1:7" x14ac:dyDescent="0.25">
      <c r="A3" t="s">
        <v>34</v>
      </c>
      <c r="B3" t="str">
        <f>TEXT(Results_Table4!W8,"0.000")&amp;" ± "&amp;TEXT(Results_Table4!X8,"0.000")</f>
        <v>0.708 ± 0.025</v>
      </c>
      <c r="C3" t="str">
        <f>TEXT(Results_Table4!W9,"0.000")&amp;" ± "&amp;TEXT(Results_Table4!X9,"0.000")</f>
        <v>0.937 ± 0.022</v>
      </c>
      <c r="D3" t="str">
        <f>TEXT(Results_Table4!W10,"0.000")&amp;" ± "&amp;TEXT(Results_Table4!X10,"0.000")</f>
        <v>5.963 ± 0.197</v>
      </c>
      <c r="E3" t="str">
        <f>TEXT(Results_Table4!W11,"0.000")&amp;" ± "&amp;TEXT(Results_Table4!X11,"0.000")</f>
        <v>0.879 ± 0.005</v>
      </c>
      <c r="F3" t="str">
        <f>TEXT(Results_Table4!W12,"0.000")&amp;" ± "&amp;TEXT(Results_Table4!X12,"0.000")</f>
        <v>94.966 ± 0.595</v>
      </c>
      <c r="G3" t="str">
        <f>TEXT(Results_Table4!W13,"0.000")&amp;" ± "&amp;TEXT(Results_Table4!X13,"0.000")</f>
        <v>0.231 ± 0.013</v>
      </c>
    </row>
    <row r="4" spans="1:7" x14ac:dyDescent="0.25">
      <c r="A4" t="s">
        <v>35</v>
      </c>
      <c r="B4" t="str">
        <f>TEXT(Results_Table4!W14,"0.000")&amp;" ± "&amp;TEXT(Results_Table4!X14,"0.000")</f>
        <v>0.783 ± 0.036</v>
      </c>
      <c r="C4" t="str">
        <f>TEXT(Results_Table4!W15,"0.000")&amp;" ± "&amp;TEXT(Results_Table4!X15,"0.000")</f>
        <v>1.039 ± 0.036</v>
      </c>
      <c r="D4" t="str">
        <f>TEXT(Results_Table4!W16,"0.000")&amp;" ± "&amp;TEXT(Results_Table4!X16,"0.000")</f>
        <v>6.643 ± 0.303</v>
      </c>
      <c r="E4" t="str">
        <f>TEXT(Results_Table4!W17,"0.000")&amp;" ± "&amp;TEXT(Results_Table4!X17,"0.000")</f>
        <v>0.867 ± 0.005</v>
      </c>
      <c r="F4" t="str">
        <f>TEXT(Results_Table4!W18,"0.000")&amp;" ± "&amp;TEXT(Results_Table4!X18,"0.000")</f>
        <v>94.628 ± 0.787</v>
      </c>
      <c r="G4" t="str">
        <f>TEXT(Results_Table4!W19,"0.000")&amp;" ± "&amp;TEXT(Results_Table4!X19,"0.000")</f>
        <v>0.253 ± 0.012</v>
      </c>
    </row>
    <row r="5" spans="1:7" x14ac:dyDescent="0.25">
      <c r="A5" t="s">
        <v>36</v>
      </c>
      <c r="B5" t="str">
        <f>TEXT(Results_Table4!W20,"0.000")&amp;" ± "&amp;TEXT(Results_Table4!X20,"0.000")</f>
        <v>0.572 ± 0.016</v>
      </c>
      <c r="C5" t="str">
        <f>TEXT(Results_Table4!W21,"0.000")&amp;" ± "&amp;TEXT(Results_Table4!X21,"0.000")</f>
        <v>0.756 ± 0.025</v>
      </c>
      <c r="D5" t="str">
        <f>TEXT(Results_Table4!W22,"0.000")&amp;" ± "&amp;TEXT(Results_Table4!X22,"0.000")</f>
        <v>4.831 ± 0.215</v>
      </c>
      <c r="E5" t="str">
        <f>TEXT(Results_Table4!W23,"0.000")&amp;" ± "&amp;TEXT(Results_Table4!X23,"0.000")</f>
        <v>0.903 ± 0.005</v>
      </c>
      <c r="F5" t="str">
        <f>TEXT(Results_Table4!W24,"0.000")&amp;" ± "&amp;TEXT(Results_Table4!X24,"0.000")</f>
        <v>95.131 ± 0.451</v>
      </c>
      <c r="G5" t="str">
        <f>TEXT(Results_Table4!W25,"0.000")&amp;" ± "&amp;TEXT(Results_Table4!X25,"0.000")</f>
        <v>0.181 ± 0.009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Results_Table4</vt:lpstr>
      <vt:lpstr>Table4_Summary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2026-09-26T17:30:48Z</dcterms:created>
  <dcterms:modified xsi:type="dcterms:W3CDTF">2026-09-26T17:33:06Z</dcterms:modified>
</cp:coreProperties>
</file>