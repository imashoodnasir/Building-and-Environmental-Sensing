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791C6565-1B2F-4350-AA89-AE5FE60A0DF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lts_Table12" sheetId="1" r:id="rId1"/>
    <sheet name="Table12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" i="1"/>
  <c r="AA26" i="1"/>
  <c r="Z26" i="1"/>
  <c r="W26" i="1"/>
  <c r="AA25" i="1"/>
  <c r="Z25" i="1"/>
  <c r="W25" i="1"/>
  <c r="AA24" i="1"/>
  <c r="Z24" i="1"/>
  <c r="W24" i="1"/>
  <c r="AA23" i="1"/>
  <c r="Z23" i="1"/>
  <c r="W23" i="1"/>
  <c r="AA22" i="1"/>
  <c r="Z22" i="1"/>
  <c r="Y22" i="1"/>
  <c r="W22" i="1"/>
  <c r="B6" i="2" s="1"/>
  <c r="AA21" i="1"/>
  <c r="Z21" i="1"/>
  <c r="Y21" i="1"/>
  <c r="W21" i="1"/>
  <c r="F5" i="2" s="1"/>
  <c r="AA20" i="1"/>
  <c r="Z20" i="1"/>
  <c r="W20" i="1"/>
  <c r="AA19" i="1"/>
  <c r="Z19" i="1"/>
  <c r="W19" i="1"/>
  <c r="AA18" i="1"/>
  <c r="Z18" i="1"/>
  <c r="Y18" i="1"/>
  <c r="W18" i="1"/>
  <c r="C5" i="2" s="1"/>
  <c r="AA17" i="1"/>
  <c r="Z17" i="1"/>
  <c r="W17" i="1"/>
  <c r="B5" i="2" s="1"/>
  <c r="AA16" i="1"/>
  <c r="Z16" i="1"/>
  <c r="W16" i="1"/>
  <c r="F4" i="2" s="1"/>
  <c r="AA15" i="1"/>
  <c r="Z15" i="1"/>
  <c r="W15" i="1"/>
  <c r="E4" i="2" s="1"/>
  <c r="AA14" i="1"/>
  <c r="Z14" i="1"/>
  <c r="Y14" i="1"/>
  <c r="W14" i="1"/>
  <c r="AA13" i="1"/>
  <c r="Z13" i="1"/>
  <c r="W13" i="1"/>
  <c r="C4" i="2" s="1"/>
  <c r="AA12" i="1"/>
  <c r="Z12" i="1"/>
  <c r="Y12" i="1"/>
  <c r="W12" i="1"/>
  <c r="AA11" i="1"/>
  <c r="Z11" i="1"/>
  <c r="Y11" i="1"/>
  <c r="W11" i="1"/>
  <c r="F3" i="2" s="1"/>
  <c r="AA10" i="1"/>
  <c r="Z10" i="1"/>
  <c r="Y10" i="1"/>
  <c r="W10" i="1"/>
  <c r="E3" i="2" s="1"/>
  <c r="AA9" i="1"/>
  <c r="Z9" i="1"/>
  <c r="W9" i="1"/>
  <c r="D3" i="2" s="1"/>
  <c r="AA8" i="1"/>
  <c r="Z8" i="1"/>
  <c r="W8" i="1"/>
  <c r="C3" i="2" s="1"/>
  <c r="AA7" i="1"/>
  <c r="Z7" i="1"/>
  <c r="Y7" i="1"/>
  <c r="W7" i="1"/>
  <c r="AA6" i="1"/>
  <c r="Z6" i="1"/>
  <c r="Y6" i="1"/>
  <c r="W6" i="1"/>
  <c r="AA5" i="1"/>
  <c r="Z5" i="1"/>
  <c r="Y5" i="1"/>
  <c r="W5" i="1"/>
  <c r="E2" i="2" s="1"/>
  <c r="AA4" i="1"/>
  <c r="Z4" i="1"/>
  <c r="W4" i="1"/>
  <c r="D2" i="2" s="1"/>
  <c r="AA3" i="1"/>
  <c r="Z3" i="1"/>
  <c r="Y3" i="1"/>
  <c r="W3" i="1"/>
  <c r="AA2" i="1"/>
  <c r="Z2" i="1"/>
  <c r="Y2" i="1"/>
  <c r="W2" i="1"/>
  <c r="Y17" i="1" l="1"/>
  <c r="Y16" i="1"/>
  <c r="Y15" i="1"/>
  <c r="D4" i="2"/>
  <c r="Y4" i="1"/>
  <c r="Y13" i="1"/>
  <c r="Y9" i="1"/>
  <c r="Y8" i="1"/>
  <c r="F2" i="2"/>
  <c r="Y24" i="1"/>
  <c r="D6" i="2"/>
  <c r="B3" i="2"/>
  <c r="B4" i="2"/>
  <c r="B2" i="2"/>
  <c r="C2" i="2"/>
  <c r="F6" i="2"/>
  <c r="Y26" i="1"/>
  <c r="Y25" i="1"/>
  <c r="E6" i="2"/>
  <c r="Y23" i="1"/>
  <c r="C6" i="2"/>
  <c r="E5" i="2"/>
  <c r="Y20" i="1"/>
  <c r="D5" i="2"/>
  <c r="Y19" i="1"/>
</calcChain>
</file>

<file path=xl/sharedStrings.xml><?xml version="1.0" encoding="utf-8"?>
<sst xmlns="http://schemas.openxmlformats.org/spreadsheetml/2006/main" count="88" uniqueCount="37">
  <si>
    <t>Relative Interval</t>
  </si>
  <si>
    <t>Metric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</si>
  <si>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</si>
  <si>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</si>
  <si>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</si>
  <si>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</si>
  <si>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</si>
  <si>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</si>
  <si>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</si>
  <si>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</si>
  <si>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</si>
  <si>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</si>
  <si>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</si>
  <si>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</si>
  <si>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</si>
  <si>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</si>
  <si>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</si>
  <si>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</si>
  <si>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</si>
  <si>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</si>
  <si>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</si>
  <si>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</si>
  <si>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</si>
  <si>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</si>
  <si>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</si>
  <si>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</si>
  <si>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</si>
  <si>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Pre-shift</t>
  </si>
  <si>
    <t>MAE</t>
  </si>
  <si>
    <t>RMSE</t>
  </si>
  <si>
    <t>sMAPE (%)</t>
  </si>
  <si>
    <t>R2</t>
  </si>
  <si>
    <t>Shift Score</t>
  </si>
  <si>
    <t>0–3 h</t>
  </si>
  <si>
    <t>3–6 h</t>
  </si>
  <si>
    <t>6–12 h</t>
  </si>
  <si>
    <t>12–24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</si>
</sst>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workbookViewId="0">
      <pane xSplit="2" ySplit="1" topLeftCell="L2" activePane="bottomRight" state="frozen"/>
      <selection pane="topRight"/>
      <selection pane="bottomLeft"/>
      <selection pane="bottomRight" activeCell="X2" sqref="X2:X26"/>
    </sheetView>
  </sheetViews>
  <sheetFormatPr defaultRowHeight="15" x14ac:dyDescent="0.25"/>
  <cols>
    <col min="1" max="1" width="20" customWidth="1"/>
    <col min="2" max="2" width="16" customWidth="1"/>
    <col min="3" max="27" width="1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s="2">
        <v>0.5736</v>
      </c>
      <c r="D2" s="2">
        <v>0.56030000000000002</v>
      </c>
      <c r="E2" s="2">
        <v>0.56930000000000003</v>
      </c>
      <c r="F2" s="2">
        <v>0.57699999999999996</v>
      </c>
      <c r="G2" s="2">
        <v>0.57399999999999995</v>
      </c>
      <c r="H2" s="2">
        <v>0.56699999999999995</v>
      </c>
      <c r="I2" s="2">
        <v>0.55020000000000002</v>
      </c>
      <c r="J2" s="2">
        <v>0.56159999999999999</v>
      </c>
      <c r="K2" s="2">
        <v>0.60260000000000002</v>
      </c>
      <c r="L2" s="2">
        <v>0.54930000000000001</v>
      </c>
      <c r="M2" s="2">
        <v>0.57169999999999999</v>
      </c>
      <c r="N2" s="2">
        <v>0.58779999999999999</v>
      </c>
      <c r="O2" s="2">
        <v>0.55559999999999998</v>
      </c>
      <c r="P2" s="2">
        <v>0.56000000000000005</v>
      </c>
      <c r="Q2" s="2">
        <v>0.60009999999999997</v>
      </c>
      <c r="R2" s="2">
        <v>0.57599999999999996</v>
      </c>
      <c r="S2" s="2">
        <v>0.5907</v>
      </c>
      <c r="T2" s="2">
        <v>0.53480000000000005</v>
      </c>
      <c r="U2" s="2">
        <v>0.56330000000000002</v>
      </c>
      <c r="V2" s="2">
        <v>0.54369999999999996</v>
      </c>
      <c r="W2" s="2">
        <f t="shared" ref="W2:W26" si="0">AVERAGE(C2:V2)</f>
        <v>0.56842999999999999</v>
      </c>
      <c r="X2" s="2">
        <f>_xlfn.STDEV.S(C2:V2)</f>
        <v>1.7858069088760607E-2</v>
      </c>
      <c r="Y2" s="2">
        <f t="shared" ref="Y2:Y26" si="1">IFERROR(X2/ABS(W2)*100,"")</f>
        <v>3.1416478878244654</v>
      </c>
      <c r="Z2" s="2">
        <f t="shared" ref="Z2:Z26" si="2">MIN(C2:V2)</f>
        <v>0.53480000000000005</v>
      </c>
      <c r="AA2" s="2">
        <f t="shared" ref="AA2:AA26" si="3">MAX(C2:V2)</f>
        <v>0.60260000000000002</v>
      </c>
    </row>
    <row r="3" spans="1:27" x14ac:dyDescent="0.25">
      <c r="A3" t="s">
        <v>27</v>
      </c>
      <c r="B3" t="s">
        <v>29</v>
      </c>
      <c r="C3" s="2">
        <v>0.78100000000000003</v>
      </c>
      <c r="D3" s="2">
        <v>0.75360000000000005</v>
      </c>
      <c r="E3" s="2">
        <v>0.74809999999999999</v>
      </c>
      <c r="F3" s="2">
        <v>0.75839999999999996</v>
      </c>
      <c r="G3" s="2">
        <v>0.77839999999999998</v>
      </c>
      <c r="H3" s="2">
        <v>0.77470000000000006</v>
      </c>
      <c r="I3" s="2">
        <v>0.75380000000000003</v>
      </c>
      <c r="J3" s="2">
        <v>0.74770000000000003</v>
      </c>
      <c r="K3" s="2">
        <v>0.7651</v>
      </c>
      <c r="L3" s="2">
        <v>0.71619999999999995</v>
      </c>
      <c r="M3" s="2">
        <v>0.75409999999999999</v>
      </c>
      <c r="N3" s="2">
        <v>0.78210000000000002</v>
      </c>
      <c r="O3" s="2">
        <v>0.74519999999999997</v>
      </c>
      <c r="P3" s="2">
        <v>0.75919999999999999</v>
      </c>
      <c r="Q3" s="2">
        <v>0.74719999999999998</v>
      </c>
      <c r="R3" s="2">
        <v>0.76839999999999997</v>
      </c>
      <c r="S3" s="2">
        <v>0.74360000000000004</v>
      </c>
      <c r="T3" s="2">
        <v>0.71</v>
      </c>
      <c r="U3" s="2">
        <v>0.72689999999999999</v>
      </c>
      <c r="V3" s="2">
        <v>0.74580000000000002</v>
      </c>
      <c r="W3" s="2">
        <f t="shared" si="0"/>
        <v>0.75297499999999995</v>
      </c>
      <c r="X3" s="2">
        <f t="shared" ref="X3:X26" si="4">_xlfn.STDEV.S(C3:V3)</f>
        <v>1.9696990820133452E-2</v>
      </c>
      <c r="Y3" s="2">
        <f t="shared" si="1"/>
        <v>2.6158890826565893</v>
      </c>
      <c r="Z3" s="2">
        <f t="shared" si="2"/>
        <v>0.71</v>
      </c>
      <c r="AA3" s="2">
        <f t="shared" si="3"/>
        <v>0.78210000000000002</v>
      </c>
    </row>
    <row r="4" spans="1:27" x14ac:dyDescent="0.25">
      <c r="A4" t="s">
        <v>27</v>
      </c>
      <c r="B4" t="s">
        <v>30</v>
      </c>
      <c r="C4" s="2">
        <v>4.7252000000000001</v>
      </c>
      <c r="D4" s="2">
        <v>4.5202</v>
      </c>
      <c r="E4" s="2">
        <v>4.9518000000000004</v>
      </c>
      <c r="F4" s="2">
        <v>4.9386999999999999</v>
      </c>
      <c r="G4" s="2">
        <v>4.5928000000000004</v>
      </c>
      <c r="H4" s="2">
        <v>5.1029999999999998</v>
      </c>
      <c r="I4" s="2">
        <v>4.8179999999999996</v>
      </c>
      <c r="J4" s="2">
        <v>4.6624999999999996</v>
      </c>
      <c r="K4" s="2">
        <v>4.7561999999999998</v>
      </c>
      <c r="L4" s="2">
        <v>4.9603000000000002</v>
      </c>
      <c r="M4" s="2">
        <v>4.6647999999999996</v>
      </c>
      <c r="N4" s="2">
        <v>4.9237000000000002</v>
      </c>
      <c r="O4" s="2">
        <v>4.9626999999999999</v>
      </c>
      <c r="P4" s="2">
        <v>4.6712999999999996</v>
      </c>
      <c r="Q4" s="2">
        <v>4.9150999999999998</v>
      </c>
      <c r="R4" s="2">
        <v>4.8784000000000001</v>
      </c>
      <c r="S4" s="2">
        <v>4.7808000000000002</v>
      </c>
      <c r="T4" s="2">
        <v>4.8372999999999999</v>
      </c>
      <c r="U4" s="2">
        <v>4.8829000000000002</v>
      </c>
      <c r="V4" s="2">
        <v>4.6730999999999998</v>
      </c>
      <c r="W4" s="2">
        <f t="shared" si="0"/>
        <v>4.8109400000000004</v>
      </c>
      <c r="X4" s="2">
        <f t="shared" si="4"/>
        <v>0.14975456903670228</v>
      </c>
      <c r="Y4" s="2">
        <f t="shared" si="1"/>
        <v>3.112792282520719</v>
      </c>
      <c r="Z4" s="2">
        <f t="shared" si="2"/>
        <v>4.5202</v>
      </c>
      <c r="AA4" s="2">
        <f t="shared" si="3"/>
        <v>5.1029999999999998</v>
      </c>
    </row>
    <row r="5" spans="1:27" x14ac:dyDescent="0.25">
      <c r="A5" t="s">
        <v>27</v>
      </c>
      <c r="B5" t="s">
        <v>31</v>
      </c>
      <c r="C5" s="2">
        <v>0.90039999999999998</v>
      </c>
      <c r="D5" s="2">
        <v>0.9042</v>
      </c>
      <c r="E5" s="2">
        <v>0.90600000000000003</v>
      </c>
      <c r="F5" s="2">
        <v>0.90549999999999997</v>
      </c>
      <c r="G5" s="2">
        <v>0.9022</v>
      </c>
      <c r="H5" s="2">
        <v>0.90710000000000002</v>
      </c>
      <c r="I5" s="2">
        <v>0.90400000000000003</v>
      </c>
      <c r="J5" s="2">
        <v>0.90659999999999996</v>
      </c>
      <c r="K5" s="2">
        <v>0.90280000000000005</v>
      </c>
      <c r="L5" s="2">
        <v>0.90359999999999996</v>
      </c>
      <c r="M5" s="2">
        <v>0.90790000000000004</v>
      </c>
      <c r="N5" s="2">
        <v>0.89980000000000004</v>
      </c>
      <c r="O5" s="2">
        <v>0.9123</v>
      </c>
      <c r="P5" s="2">
        <v>0.90269999999999995</v>
      </c>
      <c r="Q5" s="2">
        <v>0.90769999999999995</v>
      </c>
      <c r="R5" s="2">
        <v>0.90549999999999997</v>
      </c>
      <c r="S5" s="2">
        <v>0.89810000000000001</v>
      </c>
      <c r="T5" s="2">
        <v>0.90239999999999998</v>
      </c>
      <c r="U5" s="2">
        <v>0.89490000000000003</v>
      </c>
      <c r="V5" s="2">
        <v>0.90569999999999995</v>
      </c>
      <c r="W5" s="2">
        <f t="shared" si="0"/>
        <v>0.90396999999999994</v>
      </c>
      <c r="X5" s="2">
        <f t="shared" si="4"/>
        <v>3.8585653183261541E-3</v>
      </c>
      <c r="Y5" s="2">
        <f t="shared" si="1"/>
        <v>0.42684661198116686</v>
      </c>
      <c r="Z5" s="2">
        <f t="shared" si="2"/>
        <v>0.89490000000000003</v>
      </c>
      <c r="AA5" s="2">
        <f t="shared" si="3"/>
        <v>0.9123</v>
      </c>
    </row>
    <row r="6" spans="1:27" x14ac:dyDescent="0.25">
      <c r="A6" t="s">
        <v>27</v>
      </c>
      <c r="B6" t="s">
        <v>32</v>
      </c>
      <c r="C6" s="2">
        <v>0.17760000000000001</v>
      </c>
      <c r="D6" s="2">
        <v>0.17960000000000001</v>
      </c>
      <c r="E6" s="2">
        <v>0.16220000000000001</v>
      </c>
      <c r="F6" s="2">
        <v>0.17419999999999999</v>
      </c>
      <c r="G6" s="2">
        <v>0.18190000000000001</v>
      </c>
      <c r="H6" s="2">
        <v>0.18310000000000001</v>
      </c>
      <c r="I6" s="2">
        <v>0.1608</v>
      </c>
      <c r="J6" s="2">
        <v>0.18160000000000001</v>
      </c>
      <c r="K6" s="2">
        <v>0.17510000000000001</v>
      </c>
      <c r="L6" s="2">
        <v>0.18909999999999999</v>
      </c>
      <c r="M6" s="2">
        <v>0.17949999999999999</v>
      </c>
      <c r="N6" s="2">
        <v>0.17599999999999999</v>
      </c>
      <c r="O6" s="2">
        <v>0.1822</v>
      </c>
      <c r="P6" s="2">
        <v>0.16539999999999999</v>
      </c>
      <c r="Q6" s="2">
        <v>0.15540000000000001</v>
      </c>
      <c r="R6" s="2">
        <v>0.18029999999999999</v>
      </c>
      <c r="S6" s="2">
        <v>0.1618</v>
      </c>
      <c r="T6" s="2">
        <v>0.16919999999999999</v>
      </c>
      <c r="U6" s="2">
        <v>0.18340000000000001</v>
      </c>
      <c r="V6" s="2">
        <v>0.1797</v>
      </c>
      <c r="W6" s="2">
        <f t="shared" si="0"/>
        <v>0.17490500000000003</v>
      </c>
      <c r="X6" s="2">
        <f t="shared" si="4"/>
        <v>9.2551251804210161E-3</v>
      </c>
      <c r="Y6" s="2">
        <f t="shared" si="1"/>
        <v>5.2915154972247871</v>
      </c>
      <c r="Z6" s="2">
        <f t="shared" si="2"/>
        <v>0.15540000000000001</v>
      </c>
      <c r="AA6" s="2">
        <f t="shared" si="3"/>
        <v>0.18909999999999999</v>
      </c>
    </row>
    <row r="7" spans="1:27" x14ac:dyDescent="0.25">
      <c r="A7" t="s">
        <v>33</v>
      </c>
      <c r="B7" t="s">
        <v>28</v>
      </c>
      <c r="C7" s="2">
        <v>0.78900000000000003</v>
      </c>
      <c r="D7" s="2">
        <v>0.71260000000000001</v>
      </c>
      <c r="E7" s="2">
        <v>0.73219999999999996</v>
      </c>
      <c r="F7" s="2">
        <v>0.75349999999999995</v>
      </c>
      <c r="G7" s="2">
        <v>0.73939999999999995</v>
      </c>
      <c r="H7" s="2">
        <v>0.69699999999999995</v>
      </c>
      <c r="I7" s="2">
        <v>0.75639999999999996</v>
      </c>
      <c r="J7" s="2">
        <v>0.74719999999999998</v>
      </c>
      <c r="K7" s="2">
        <v>0.71409999999999996</v>
      </c>
      <c r="L7" s="2">
        <v>0.72950000000000004</v>
      </c>
      <c r="M7" s="2">
        <v>0.75760000000000005</v>
      </c>
      <c r="N7" s="2">
        <v>0.73609999999999998</v>
      </c>
      <c r="O7" s="2">
        <v>0.67800000000000005</v>
      </c>
      <c r="P7" s="2">
        <v>0.73399999999999999</v>
      </c>
      <c r="Q7" s="2">
        <v>0.82440000000000002</v>
      </c>
      <c r="R7" s="2">
        <v>0.7823</v>
      </c>
      <c r="S7" s="2">
        <v>0.72529999999999994</v>
      </c>
      <c r="T7" s="2">
        <v>0.70620000000000005</v>
      </c>
      <c r="U7" s="2">
        <v>0.75209999999999999</v>
      </c>
      <c r="V7" s="2">
        <v>0.7591</v>
      </c>
      <c r="W7" s="2">
        <f t="shared" si="0"/>
        <v>0.74130000000000007</v>
      </c>
      <c r="X7" s="2">
        <f t="shared" si="4"/>
        <v>3.3481841111422272E-2</v>
      </c>
      <c r="Y7" s="2">
        <f t="shared" si="1"/>
        <v>4.5166384879835784</v>
      </c>
      <c r="Z7" s="2">
        <f t="shared" si="2"/>
        <v>0.67800000000000005</v>
      </c>
      <c r="AA7" s="2">
        <f t="shared" si="3"/>
        <v>0.82440000000000002</v>
      </c>
    </row>
    <row r="8" spans="1:27" x14ac:dyDescent="0.25">
      <c r="A8" t="s">
        <v>33</v>
      </c>
      <c r="B8" t="s">
        <v>29</v>
      </c>
      <c r="C8" s="2">
        <v>0.96860000000000002</v>
      </c>
      <c r="D8" s="2">
        <v>0.99580000000000002</v>
      </c>
      <c r="E8" s="2">
        <v>1.0384</v>
      </c>
      <c r="F8" s="2">
        <v>1.0158</v>
      </c>
      <c r="G8" s="2">
        <v>0.95820000000000005</v>
      </c>
      <c r="H8" s="2">
        <v>1.004</v>
      </c>
      <c r="I8" s="2">
        <v>1.0019</v>
      </c>
      <c r="J8" s="2">
        <v>0.95709999999999995</v>
      </c>
      <c r="K8" s="2">
        <v>0.99970000000000003</v>
      </c>
      <c r="L8" s="2">
        <v>0.93320000000000003</v>
      </c>
      <c r="M8" s="2">
        <v>0.99419999999999997</v>
      </c>
      <c r="N8" s="2">
        <v>1.0167999999999999</v>
      </c>
      <c r="O8" s="2">
        <v>0.99439999999999995</v>
      </c>
      <c r="P8" s="2">
        <v>0.96289999999999998</v>
      </c>
      <c r="Q8" s="2">
        <v>0.9587</v>
      </c>
      <c r="R8" s="2">
        <v>0.95040000000000002</v>
      </c>
      <c r="S8" s="2">
        <v>0.98760000000000003</v>
      </c>
      <c r="T8" s="2">
        <v>0.99819999999999998</v>
      </c>
      <c r="U8" s="2">
        <v>0.97040000000000004</v>
      </c>
      <c r="V8" s="2">
        <v>0.9325</v>
      </c>
      <c r="W8" s="2">
        <f t="shared" si="0"/>
        <v>0.98194000000000004</v>
      </c>
      <c r="X8" s="2">
        <f t="shared" si="4"/>
        <v>2.8794213599994442E-2</v>
      </c>
      <c r="Y8" s="2">
        <f t="shared" si="1"/>
        <v>2.9323801454258347</v>
      </c>
      <c r="Z8" s="2">
        <f t="shared" si="2"/>
        <v>0.9325</v>
      </c>
      <c r="AA8" s="2">
        <f t="shared" si="3"/>
        <v>1.0384</v>
      </c>
    </row>
    <row r="9" spans="1:27" x14ac:dyDescent="0.25">
      <c r="A9" t="s">
        <v>33</v>
      </c>
      <c r="B9" t="s">
        <v>30</v>
      </c>
      <c r="C9" s="2">
        <v>6.0030000000000001</v>
      </c>
      <c r="D9" s="2">
        <v>5.8334000000000001</v>
      </c>
      <c r="E9" s="2">
        <v>6.173</v>
      </c>
      <c r="F9" s="2">
        <v>6.6219000000000001</v>
      </c>
      <c r="G9" s="2">
        <v>5.891</v>
      </c>
      <c r="H9" s="2">
        <v>6.2168999999999999</v>
      </c>
      <c r="I9" s="2">
        <v>6.1536999999999997</v>
      </c>
      <c r="J9" s="2">
        <v>6.2603</v>
      </c>
      <c r="K9" s="2">
        <v>6.1483999999999996</v>
      </c>
      <c r="L9" s="2">
        <v>6.0923999999999996</v>
      </c>
      <c r="M9" s="2">
        <v>6.0015999999999998</v>
      </c>
      <c r="N9" s="2">
        <v>6.6844999999999999</v>
      </c>
      <c r="O9" s="2">
        <v>6.6639999999999997</v>
      </c>
      <c r="P9" s="2">
        <v>6.8273000000000001</v>
      </c>
      <c r="Q9" s="2">
        <v>6.1203000000000003</v>
      </c>
      <c r="R9" s="2">
        <v>5.8887999999999998</v>
      </c>
      <c r="S9" s="2">
        <v>6.2812000000000001</v>
      </c>
      <c r="T9" s="2">
        <v>6.7777000000000003</v>
      </c>
      <c r="U9" s="2">
        <v>6.3353999999999999</v>
      </c>
      <c r="V9" s="2">
        <v>6.4919000000000002</v>
      </c>
      <c r="W9" s="2">
        <f t="shared" si="0"/>
        <v>6.2733349999999994</v>
      </c>
      <c r="X9" s="2">
        <f t="shared" si="4"/>
        <v>0.30694852692953351</v>
      </c>
      <c r="Y9" s="2">
        <f t="shared" si="1"/>
        <v>4.8929082685610377</v>
      </c>
      <c r="Z9" s="2">
        <f t="shared" si="2"/>
        <v>5.8334000000000001</v>
      </c>
      <c r="AA9" s="2">
        <f t="shared" si="3"/>
        <v>6.8273000000000001</v>
      </c>
    </row>
    <row r="10" spans="1:27" x14ac:dyDescent="0.25">
      <c r="A10" t="s">
        <v>33</v>
      </c>
      <c r="B10" t="s">
        <v>31</v>
      </c>
      <c r="C10" s="2">
        <v>0.879</v>
      </c>
      <c r="D10" s="2">
        <v>0.87539999999999996</v>
      </c>
      <c r="E10" s="2">
        <v>0.86770000000000003</v>
      </c>
      <c r="F10" s="2">
        <v>0.879</v>
      </c>
      <c r="G10" s="2">
        <v>0.86739999999999995</v>
      </c>
      <c r="H10" s="2">
        <v>0.87180000000000002</v>
      </c>
      <c r="I10" s="2">
        <v>0.88149999999999995</v>
      </c>
      <c r="J10" s="2">
        <v>0.87509999999999999</v>
      </c>
      <c r="K10" s="2">
        <v>0.86980000000000002</v>
      </c>
      <c r="L10" s="2">
        <v>0.87429999999999997</v>
      </c>
      <c r="M10" s="2">
        <v>0.88009999999999999</v>
      </c>
      <c r="N10" s="2">
        <v>0.86599999999999999</v>
      </c>
      <c r="O10" s="2">
        <v>0.87849999999999995</v>
      </c>
      <c r="P10" s="2">
        <v>0.87509999999999999</v>
      </c>
      <c r="Q10" s="2">
        <v>0.88249999999999995</v>
      </c>
      <c r="R10" s="2">
        <v>0.87450000000000006</v>
      </c>
      <c r="S10" s="2">
        <v>0.86709999999999998</v>
      </c>
      <c r="T10" s="2">
        <v>0.87660000000000005</v>
      </c>
      <c r="U10" s="2">
        <v>0.8831</v>
      </c>
      <c r="V10" s="2">
        <v>0.87709999999999999</v>
      </c>
      <c r="W10" s="2">
        <f t="shared" si="0"/>
        <v>0.87507999999999997</v>
      </c>
      <c r="X10" s="2">
        <f t="shared" si="4"/>
        <v>5.3008043083846634E-3</v>
      </c>
      <c r="Y10" s="2">
        <f t="shared" si="1"/>
        <v>0.60575082374007672</v>
      </c>
      <c r="Z10" s="2">
        <f t="shared" si="2"/>
        <v>0.86599999999999999</v>
      </c>
      <c r="AA10" s="2">
        <f t="shared" si="3"/>
        <v>0.8831</v>
      </c>
    </row>
    <row r="11" spans="1:27" x14ac:dyDescent="0.25">
      <c r="A11" t="s">
        <v>33</v>
      </c>
      <c r="B11" t="s">
        <v>32</v>
      </c>
      <c r="C11" s="2">
        <v>0.24010000000000001</v>
      </c>
      <c r="D11" s="2">
        <v>0.2366</v>
      </c>
      <c r="E11" s="2">
        <v>0.25309999999999999</v>
      </c>
      <c r="F11" s="2">
        <v>0.2359</v>
      </c>
      <c r="G11" s="2">
        <v>0.25569999999999998</v>
      </c>
      <c r="H11" s="2">
        <v>0.24340000000000001</v>
      </c>
      <c r="I11" s="2">
        <v>0.23100000000000001</v>
      </c>
      <c r="J11" s="2">
        <v>0.23499999999999999</v>
      </c>
      <c r="K11" s="2">
        <v>0.25919999999999999</v>
      </c>
      <c r="L11" s="2">
        <v>0.23</v>
      </c>
      <c r="M11" s="2">
        <v>0.2492</v>
      </c>
      <c r="N11" s="2">
        <v>0.23469999999999999</v>
      </c>
      <c r="O11" s="2">
        <v>0.26300000000000001</v>
      </c>
      <c r="P11" s="2">
        <v>0.24940000000000001</v>
      </c>
      <c r="Q11" s="2">
        <v>0.26050000000000001</v>
      </c>
      <c r="R11" s="2">
        <v>0.2447</v>
      </c>
      <c r="S11" s="2">
        <v>0.23169999999999999</v>
      </c>
      <c r="T11" s="2">
        <v>0.27650000000000002</v>
      </c>
      <c r="U11" s="2">
        <v>0.20710000000000001</v>
      </c>
      <c r="V11" s="2">
        <v>0.21990000000000001</v>
      </c>
      <c r="W11" s="2">
        <f t="shared" si="0"/>
        <v>0.242835</v>
      </c>
      <c r="X11" s="2">
        <f t="shared" si="4"/>
        <v>1.6111332232804011E-2</v>
      </c>
      <c r="Y11" s="2">
        <f t="shared" si="1"/>
        <v>6.6346829051841834</v>
      </c>
      <c r="Z11" s="2">
        <f t="shared" si="2"/>
        <v>0.20710000000000001</v>
      </c>
      <c r="AA11" s="2">
        <f t="shared" si="3"/>
        <v>0.27650000000000002</v>
      </c>
    </row>
    <row r="12" spans="1:27" x14ac:dyDescent="0.25">
      <c r="A12" t="s">
        <v>34</v>
      </c>
      <c r="B12" t="s">
        <v>28</v>
      </c>
      <c r="C12" s="2">
        <v>0.71230000000000004</v>
      </c>
      <c r="D12" s="2">
        <v>0.74170000000000003</v>
      </c>
      <c r="E12" s="2">
        <v>0.70140000000000002</v>
      </c>
      <c r="F12" s="2">
        <v>0.74139999999999995</v>
      </c>
      <c r="G12" s="2">
        <v>0.74219999999999997</v>
      </c>
      <c r="H12" s="2">
        <v>0.70930000000000004</v>
      </c>
      <c r="I12" s="2">
        <v>0.7026</v>
      </c>
      <c r="J12" s="2">
        <v>0.72599999999999998</v>
      </c>
      <c r="K12" s="2">
        <v>0.64419999999999999</v>
      </c>
      <c r="L12" s="2">
        <v>0.71260000000000001</v>
      </c>
      <c r="M12" s="2">
        <v>0.70979999999999999</v>
      </c>
      <c r="N12" s="2">
        <v>0.70130000000000003</v>
      </c>
      <c r="O12" s="2">
        <v>0.69279999999999997</v>
      </c>
      <c r="P12" s="2">
        <v>0.69020000000000004</v>
      </c>
      <c r="Q12" s="2">
        <v>0.70430000000000004</v>
      </c>
      <c r="R12" s="2">
        <v>0.66790000000000005</v>
      </c>
      <c r="S12" s="2">
        <v>0.72319999999999995</v>
      </c>
      <c r="T12" s="2">
        <v>0.7087</v>
      </c>
      <c r="U12" s="2">
        <v>0.70040000000000002</v>
      </c>
      <c r="V12" s="2">
        <v>0.74790000000000001</v>
      </c>
      <c r="W12" s="2">
        <f t="shared" si="0"/>
        <v>0.70901000000000003</v>
      </c>
      <c r="X12" s="2">
        <f t="shared" si="4"/>
        <v>2.5139608086381174E-2</v>
      </c>
      <c r="Y12" s="2">
        <f t="shared" si="1"/>
        <v>3.545733922847516</v>
      </c>
      <c r="Z12" s="2">
        <f t="shared" si="2"/>
        <v>0.64419999999999999</v>
      </c>
      <c r="AA12" s="2">
        <f t="shared" si="3"/>
        <v>0.74790000000000001</v>
      </c>
    </row>
    <row r="13" spans="1:27" x14ac:dyDescent="0.25">
      <c r="A13" t="s">
        <v>34</v>
      </c>
      <c r="B13" t="s">
        <v>29</v>
      </c>
      <c r="C13" s="2">
        <v>0.95809999999999995</v>
      </c>
      <c r="D13" s="2">
        <v>0.89839999999999998</v>
      </c>
      <c r="E13" s="2">
        <v>0.95830000000000004</v>
      </c>
      <c r="F13" s="2">
        <v>0.95689999999999997</v>
      </c>
      <c r="G13" s="2">
        <v>0.9194</v>
      </c>
      <c r="H13" s="2">
        <v>0.9113</v>
      </c>
      <c r="I13" s="2">
        <v>0.88970000000000005</v>
      </c>
      <c r="J13" s="2">
        <v>0.93089999999999995</v>
      </c>
      <c r="K13" s="2">
        <v>0.91279999999999994</v>
      </c>
      <c r="L13" s="2">
        <v>0.93859999999999999</v>
      </c>
      <c r="M13" s="2">
        <v>0.96160000000000001</v>
      </c>
      <c r="N13" s="2">
        <v>0.98180000000000001</v>
      </c>
      <c r="O13" s="2">
        <v>0.94030000000000002</v>
      </c>
      <c r="P13" s="2">
        <v>0.9264</v>
      </c>
      <c r="Q13" s="2">
        <v>0.92889999999999995</v>
      </c>
      <c r="R13" s="2">
        <v>0.94530000000000003</v>
      </c>
      <c r="S13" s="2">
        <v>0.95489999999999997</v>
      </c>
      <c r="T13" s="2">
        <v>0.94430000000000003</v>
      </c>
      <c r="U13" s="2">
        <v>0.93310000000000004</v>
      </c>
      <c r="V13" s="2">
        <v>0.96350000000000002</v>
      </c>
      <c r="W13" s="2">
        <f t="shared" si="0"/>
        <v>0.93772500000000003</v>
      </c>
      <c r="X13" s="2">
        <f t="shared" si="4"/>
        <v>2.3584581827965495E-2</v>
      </c>
      <c r="Y13" s="2">
        <f t="shared" si="1"/>
        <v>2.5150851078904255</v>
      </c>
      <c r="Z13" s="2">
        <f t="shared" si="2"/>
        <v>0.88970000000000005</v>
      </c>
      <c r="AA13" s="2">
        <f t="shared" si="3"/>
        <v>0.98180000000000001</v>
      </c>
    </row>
    <row r="14" spans="1:27" x14ac:dyDescent="0.25">
      <c r="A14" t="s">
        <v>34</v>
      </c>
      <c r="B14" t="s">
        <v>30</v>
      </c>
      <c r="C14" s="2">
        <v>6.0770999999999997</v>
      </c>
      <c r="D14" s="2">
        <v>6.3410000000000002</v>
      </c>
      <c r="E14" s="2">
        <v>5.7981999999999996</v>
      </c>
      <c r="F14" s="2">
        <v>5.9341999999999997</v>
      </c>
      <c r="G14" s="2">
        <v>5.7012999999999998</v>
      </c>
      <c r="H14" s="2">
        <v>6.2188999999999997</v>
      </c>
      <c r="I14" s="2">
        <v>5.8261000000000003</v>
      </c>
      <c r="J14" s="2">
        <v>6.1416000000000004</v>
      </c>
      <c r="K14" s="2">
        <v>5.8849999999999998</v>
      </c>
      <c r="L14" s="2">
        <v>6.0636000000000001</v>
      </c>
      <c r="M14" s="2">
        <v>6.2704000000000004</v>
      </c>
      <c r="N14" s="2">
        <v>5.8859000000000004</v>
      </c>
      <c r="O14" s="2">
        <v>5.9486999999999997</v>
      </c>
      <c r="P14" s="2">
        <v>5.7587000000000002</v>
      </c>
      <c r="Q14" s="2">
        <v>5.8251999999999997</v>
      </c>
      <c r="R14" s="2">
        <v>5.9541000000000004</v>
      </c>
      <c r="S14" s="2">
        <v>6.1387</v>
      </c>
      <c r="T14" s="2">
        <v>5.8951000000000002</v>
      </c>
      <c r="U14" s="2">
        <v>6.4195000000000002</v>
      </c>
      <c r="V14" s="2">
        <v>5.7770999999999999</v>
      </c>
      <c r="W14" s="2">
        <f t="shared" si="0"/>
        <v>5.9930199999999996</v>
      </c>
      <c r="X14" s="2">
        <f t="shared" si="4"/>
        <v>0.20603590284986237</v>
      </c>
      <c r="Y14" s="2">
        <f t="shared" si="1"/>
        <v>3.4379311740969061</v>
      </c>
      <c r="Z14" s="2">
        <f t="shared" si="2"/>
        <v>5.7012999999999998</v>
      </c>
      <c r="AA14" s="2">
        <f t="shared" si="3"/>
        <v>6.4195000000000002</v>
      </c>
    </row>
    <row r="15" spans="1:27" x14ac:dyDescent="0.25">
      <c r="A15" t="s">
        <v>34</v>
      </c>
      <c r="B15" t="s">
        <v>31</v>
      </c>
      <c r="C15" s="2">
        <v>0.88280000000000003</v>
      </c>
      <c r="D15" s="2">
        <v>0.87819999999999998</v>
      </c>
      <c r="E15" s="2">
        <v>0.8821</v>
      </c>
      <c r="F15" s="2">
        <v>0.88780000000000003</v>
      </c>
      <c r="G15" s="2">
        <v>0.87819999999999998</v>
      </c>
      <c r="H15" s="2">
        <v>0.88339999999999996</v>
      </c>
      <c r="I15" s="2">
        <v>0.87680000000000002</v>
      </c>
      <c r="J15" s="2">
        <v>0.88819999999999999</v>
      </c>
      <c r="K15" s="2">
        <v>0.87549999999999994</v>
      </c>
      <c r="L15" s="2">
        <v>0.87949999999999995</v>
      </c>
      <c r="M15" s="2">
        <v>0.88180000000000003</v>
      </c>
      <c r="N15" s="2">
        <v>0.88500000000000001</v>
      </c>
      <c r="O15" s="2">
        <v>0.87350000000000005</v>
      </c>
      <c r="P15" s="2">
        <v>0.88029999999999997</v>
      </c>
      <c r="Q15" s="2">
        <v>0.88480000000000003</v>
      </c>
      <c r="R15" s="2">
        <v>0.87939999999999996</v>
      </c>
      <c r="S15" s="2">
        <v>0.87209999999999999</v>
      </c>
      <c r="T15" s="2">
        <v>0.8821</v>
      </c>
      <c r="U15" s="2">
        <v>0.87629999999999997</v>
      </c>
      <c r="V15" s="2">
        <v>0.88939999999999997</v>
      </c>
      <c r="W15" s="2">
        <f t="shared" si="0"/>
        <v>0.88085999999999987</v>
      </c>
      <c r="X15" s="2">
        <f t="shared" si="4"/>
        <v>4.796753287929576E-3</v>
      </c>
      <c r="Y15" s="2">
        <f t="shared" si="1"/>
        <v>0.54455342369157145</v>
      </c>
      <c r="Z15" s="2">
        <f t="shared" si="2"/>
        <v>0.87209999999999999</v>
      </c>
      <c r="AA15" s="2">
        <f t="shared" si="3"/>
        <v>0.88939999999999997</v>
      </c>
    </row>
    <row r="16" spans="1:27" x14ac:dyDescent="0.25">
      <c r="A16" t="s">
        <v>34</v>
      </c>
      <c r="B16" t="s">
        <v>32</v>
      </c>
      <c r="C16" s="2">
        <v>0.21010000000000001</v>
      </c>
      <c r="D16" s="2">
        <v>0.23250000000000001</v>
      </c>
      <c r="E16" s="2">
        <v>0.25259999999999999</v>
      </c>
      <c r="F16" s="2">
        <v>0.23669999999999999</v>
      </c>
      <c r="G16" s="2">
        <v>0.23400000000000001</v>
      </c>
      <c r="H16" s="2">
        <v>0.23619999999999999</v>
      </c>
      <c r="I16" s="2">
        <v>0.22040000000000001</v>
      </c>
      <c r="J16" s="2">
        <v>0.2364</v>
      </c>
      <c r="K16" s="2">
        <v>0.22500000000000001</v>
      </c>
      <c r="L16" s="2">
        <v>0.252</v>
      </c>
      <c r="M16" s="2">
        <v>0.2336</v>
      </c>
      <c r="N16" s="2">
        <v>0.20100000000000001</v>
      </c>
      <c r="O16" s="2">
        <v>0.23880000000000001</v>
      </c>
      <c r="P16" s="2">
        <v>0.23980000000000001</v>
      </c>
      <c r="Q16" s="2">
        <v>0.21579999999999999</v>
      </c>
      <c r="R16" s="2">
        <v>0.24210000000000001</v>
      </c>
      <c r="S16" s="2">
        <v>0.23449999999999999</v>
      </c>
      <c r="T16" s="2">
        <v>0.2283</v>
      </c>
      <c r="U16" s="2">
        <v>0.2432</v>
      </c>
      <c r="V16" s="2">
        <v>0.22289999999999999</v>
      </c>
      <c r="W16" s="2">
        <f t="shared" si="0"/>
        <v>0.23179499999999997</v>
      </c>
      <c r="X16" s="2">
        <f t="shared" si="4"/>
        <v>1.300467426087939E-2</v>
      </c>
      <c r="Y16" s="2">
        <f t="shared" si="1"/>
        <v>5.6104205271379417</v>
      </c>
      <c r="Z16" s="2">
        <f t="shared" si="2"/>
        <v>0.20100000000000001</v>
      </c>
      <c r="AA16" s="2">
        <f t="shared" si="3"/>
        <v>0.25259999999999999</v>
      </c>
    </row>
    <row r="17" spans="1:27" x14ac:dyDescent="0.25">
      <c r="A17" t="s">
        <v>35</v>
      </c>
      <c r="B17" t="s">
        <v>28</v>
      </c>
      <c r="C17" s="2">
        <v>0.68779999999999997</v>
      </c>
      <c r="D17" s="2">
        <v>0.65380000000000005</v>
      </c>
      <c r="E17" s="2">
        <v>0.66369999999999996</v>
      </c>
      <c r="F17" s="2">
        <v>0.66410000000000002</v>
      </c>
      <c r="G17" s="2">
        <v>0.67020000000000002</v>
      </c>
      <c r="H17" s="2">
        <v>0.65190000000000003</v>
      </c>
      <c r="I17" s="2">
        <v>0.63970000000000005</v>
      </c>
      <c r="J17" s="2">
        <v>0.69020000000000004</v>
      </c>
      <c r="K17" s="2">
        <v>0.64339999999999997</v>
      </c>
      <c r="L17" s="2">
        <v>0.63649999999999995</v>
      </c>
      <c r="M17" s="2">
        <v>0.6401</v>
      </c>
      <c r="N17" s="2">
        <v>0.67949999999999999</v>
      </c>
      <c r="O17" s="2">
        <v>0.67090000000000005</v>
      </c>
      <c r="P17" s="2">
        <v>0.65439999999999998</v>
      </c>
      <c r="Q17" s="2">
        <v>0.66700000000000004</v>
      </c>
      <c r="R17" s="2">
        <v>0.66500000000000004</v>
      </c>
      <c r="S17" s="2">
        <v>0.65010000000000001</v>
      </c>
      <c r="T17" s="2">
        <v>0.63470000000000004</v>
      </c>
      <c r="U17" s="2">
        <v>0.65639999999999998</v>
      </c>
      <c r="V17" s="2">
        <v>0.66810000000000003</v>
      </c>
      <c r="W17" s="2">
        <f t="shared" si="0"/>
        <v>0.65937500000000004</v>
      </c>
      <c r="X17" s="2">
        <f t="shared" si="4"/>
        <v>1.6177725915266141E-2</v>
      </c>
      <c r="Y17" s="2">
        <f t="shared" si="1"/>
        <v>2.4534939776706941</v>
      </c>
      <c r="Z17" s="2">
        <f t="shared" si="2"/>
        <v>0.63470000000000004</v>
      </c>
      <c r="AA17" s="2">
        <f t="shared" si="3"/>
        <v>0.69020000000000004</v>
      </c>
    </row>
    <row r="18" spans="1:27" x14ac:dyDescent="0.25">
      <c r="A18" t="s">
        <v>35</v>
      </c>
      <c r="B18" t="s">
        <v>29</v>
      </c>
      <c r="C18" s="2">
        <v>0.96319999999999995</v>
      </c>
      <c r="D18" s="2">
        <v>0.9002</v>
      </c>
      <c r="E18" s="2">
        <v>0.874</v>
      </c>
      <c r="F18" s="2">
        <v>0.88549999999999995</v>
      </c>
      <c r="G18" s="2">
        <v>0.87290000000000001</v>
      </c>
      <c r="H18" s="2">
        <v>0.83109999999999995</v>
      </c>
      <c r="I18" s="2">
        <v>0.85870000000000002</v>
      </c>
      <c r="J18" s="2">
        <v>0.80559999999999998</v>
      </c>
      <c r="K18" s="2">
        <v>0.83850000000000002</v>
      </c>
      <c r="L18" s="2">
        <v>0.91369999999999996</v>
      </c>
      <c r="M18" s="2">
        <v>0.85709999999999997</v>
      </c>
      <c r="N18" s="2">
        <v>0.84789999999999999</v>
      </c>
      <c r="O18" s="2">
        <v>0.88060000000000005</v>
      </c>
      <c r="P18" s="2">
        <v>0.85540000000000005</v>
      </c>
      <c r="Q18" s="2">
        <v>0.89539999999999997</v>
      </c>
      <c r="R18" s="2">
        <v>0.84630000000000005</v>
      </c>
      <c r="S18" s="2">
        <v>0.90190000000000003</v>
      </c>
      <c r="T18" s="2">
        <v>0.83420000000000005</v>
      </c>
      <c r="U18" s="2">
        <v>0.89249999999999996</v>
      </c>
      <c r="V18" s="2">
        <v>0.88319999999999999</v>
      </c>
      <c r="W18" s="2">
        <f t="shared" si="0"/>
        <v>0.87189499999999975</v>
      </c>
      <c r="X18" s="2">
        <f t="shared" si="4"/>
        <v>3.5279522538241855E-2</v>
      </c>
      <c r="Y18" s="2">
        <f t="shared" si="1"/>
        <v>4.0463040318205596</v>
      </c>
      <c r="Z18" s="2">
        <f t="shared" si="2"/>
        <v>0.80559999999999998</v>
      </c>
      <c r="AA18" s="2">
        <f t="shared" si="3"/>
        <v>0.96319999999999995</v>
      </c>
    </row>
    <row r="19" spans="1:27" x14ac:dyDescent="0.25">
      <c r="A19" t="s">
        <v>35</v>
      </c>
      <c r="B19" t="s">
        <v>30</v>
      </c>
      <c r="C19" s="2">
        <v>5.8853999999999997</v>
      </c>
      <c r="D19" s="2">
        <v>5.4356</v>
      </c>
      <c r="E19" s="2">
        <v>5.3685999999999998</v>
      </c>
      <c r="F19" s="2">
        <v>5.6321000000000003</v>
      </c>
      <c r="G19" s="2">
        <v>5.3714000000000004</v>
      </c>
      <c r="H19" s="2">
        <v>5.7183000000000002</v>
      </c>
      <c r="I19" s="2">
        <v>5.2392000000000003</v>
      </c>
      <c r="J19" s="2">
        <v>5.1173000000000002</v>
      </c>
      <c r="K19" s="2">
        <v>5.3723999999999998</v>
      </c>
      <c r="L19" s="2">
        <v>5.7333999999999996</v>
      </c>
      <c r="M19" s="2">
        <v>5.6628999999999996</v>
      </c>
      <c r="N19" s="2">
        <v>5.3097000000000003</v>
      </c>
      <c r="O19" s="2">
        <v>5.6014999999999997</v>
      </c>
      <c r="P19" s="2">
        <v>5.5462999999999996</v>
      </c>
      <c r="Q19" s="2">
        <v>5.6513</v>
      </c>
      <c r="R19" s="2">
        <v>6.1914999999999996</v>
      </c>
      <c r="S19" s="2">
        <v>5.5669000000000004</v>
      </c>
      <c r="T19" s="2">
        <v>5.4817</v>
      </c>
      <c r="U19" s="2">
        <v>5.5830000000000002</v>
      </c>
      <c r="V19" s="2">
        <v>5.9490999999999996</v>
      </c>
      <c r="W19" s="2">
        <f t="shared" si="0"/>
        <v>5.5708800000000007</v>
      </c>
      <c r="X19" s="2">
        <f t="shared" si="4"/>
        <v>0.25401970416734027</v>
      </c>
      <c r="Y19" s="2">
        <f t="shared" si="1"/>
        <v>4.5597769861734632</v>
      </c>
      <c r="Z19" s="2">
        <f t="shared" si="2"/>
        <v>5.1173000000000002</v>
      </c>
      <c r="AA19" s="2">
        <f t="shared" si="3"/>
        <v>6.1914999999999996</v>
      </c>
    </row>
    <row r="20" spans="1:27" x14ac:dyDescent="0.25">
      <c r="A20" t="s">
        <v>35</v>
      </c>
      <c r="B20" t="s">
        <v>31</v>
      </c>
      <c r="C20" s="2">
        <v>0.88959999999999995</v>
      </c>
      <c r="D20" s="2">
        <v>0.89480000000000004</v>
      </c>
      <c r="E20" s="2">
        <v>0.88260000000000005</v>
      </c>
      <c r="F20" s="2">
        <v>0.88449999999999995</v>
      </c>
      <c r="G20" s="2">
        <v>0.88329999999999997</v>
      </c>
      <c r="H20" s="2">
        <v>0.88859999999999995</v>
      </c>
      <c r="I20" s="2">
        <v>0.89149999999999996</v>
      </c>
      <c r="J20" s="2">
        <v>0.88780000000000003</v>
      </c>
      <c r="K20" s="2">
        <v>0.89790000000000003</v>
      </c>
      <c r="L20" s="2">
        <v>0.89600000000000002</v>
      </c>
      <c r="M20" s="2">
        <v>0.89180000000000004</v>
      </c>
      <c r="N20" s="2">
        <v>0.8871</v>
      </c>
      <c r="O20" s="2">
        <v>0.88870000000000005</v>
      </c>
      <c r="P20" s="2">
        <v>0.88929999999999998</v>
      </c>
      <c r="Q20" s="2">
        <v>0.874</v>
      </c>
      <c r="R20" s="2">
        <v>0.89100000000000001</v>
      </c>
      <c r="S20" s="2">
        <v>0.89</v>
      </c>
      <c r="T20" s="2">
        <v>0.88700000000000001</v>
      </c>
      <c r="U20" s="2">
        <v>0.89739999999999998</v>
      </c>
      <c r="V20" s="2">
        <v>0.88880000000000003</v>
      </c>
      <c r="W20" s="2">
        <f t="shared" si="0"/>
        <v>0.88908500000000024</v>
      </c>
      <c r="X20" s="2">
        <f t="shared" si="4"/>
        <v>5.5243265843473053E-3</v>
      </c>
      <c r="Y20" s="2">
        <f t="shared" si="1"/>
        <v>0.62134965547133336</v>
      </c>
      <c r="Z20" s="2">
        <f t="shared" si="2"/>
        <v>0.874</v>
      </c>
      <c r="AA20" s="2">
        <f t="shared" si="3"/>
        <v>0.89790000000000003</v>
      </c>
    </row>
    <row r="21" spans="1:27" x14ac:dyDescent="0.25">
      <c r="A21" t="s">
        <v>35</v>
      </c>
      <c r="B21" t="s">
        <v>32</v>
      </c>
      <c r="C21" s="2">
        <v>0.21049999999999999</v>
      </c>
      <c r="D21" s="2">
        <v>0.20930000000000001</v>
      </c>
      <c r="E21" s="2">
        <v>0.2155</v>
      </c>
      <c r="F21" s="2">
        <v>0.20860000000000001</v>
      </c>
      <c r="G21" s="2">
        <v>0.2266</v>
      </c>
      <c r="H21" s="2">
        <v>0.22</v>
      </c>
      <c r="I21" s="2">
        <v>0.22650000000000001</v>
      </c>
      <c r="J21" s="2">
        <v>0.20810000000000001</v>
      </c>
      <c r="K21" s="2">
        <v>0.2331</v>
      </c>
      <c r="L21" s="2">
        <v>0.2177</v>
      </c>
      <c r="M21" s="2">
        <v>0.20649999999999999</v>
      </c>
      <c r="N21" s="2">
        <v>0.21490000000000001</v>
      </c>
      <c r="O21" s="2">
        <v>0.24149999999999999</v>
      </c>
      <c r="P21" s="2">
        <v>0.2135</v>
      </c>
      <c r="Q21" s="2">
        <v>0.21779999999999999</v>
      </c>
      <c r="R21" s="2">
        <v>0.23180000000000001</v>
      </c>
      <c r="S21" s="2">
        <v>0.20169999999999999</v>
      </c>
      <c r="T21" s="2">
        <v>0.2135</v>
      </c>
      <c r="U21" s="2">
        <v>0.22919999999999999</v>
      </c>
      <c r="V21" s="2">
        <v>0.22389999999999999</v>
      </c>
      <c r="W21" s="2">
        <f t="shared" si="0"/>
        <v>0.21850999999999993</v>
      </c>
      <c r="X21" s="2">
        <f t="shared" si="4"/>
        <v>1.0383940029021536E-2</v>
      </c>
      <c r="Y21" s="2">
        <f t="shared" si="1"/>
        <v>4.7521578092634389</v>
      </c>
      <c r="Z21" s="2">
        <f t="shared" si="2"/>
        <v>0.20169999999999999</v>
      </c>
      <c r="AA21" s="2">
        <f t="shared" si="3"/>
        <v>0.24149999999999999</v>
      </c>
    </row>
    <row r="22" spans="1:27" x14ac:dyDescent="0.25">
      <c r="A22" t="s">
        <v>36</v>
      </c>
      <c r="B22" t="s">
        <v>28</v>
      </c>
      <c r="C22" s="2">
        <v>0.61219999999999997</v>
      </c>
      <c r="D22" s="2">
        <v>0.62539999999999996</v>
      </c>
      <c r="E22" s="2">
        <v>0.61919999999999997</v>
      </c>
      <c r="F22" s="2">
        <v>0.58760000000000001</v>
      </c>
      <c r="G22" s="2">
        <v>0.63360000000000005</v>
      </c>
      <c r="H22" s="2">
        <v>0.61060000000000003</v>
      </c>
      <c r="I22" s="2">
        <v>0.60829999999999995</v>
      </c>
      <c r="J22" s="2">
        <v>0.58899999999999997</v>
      </c>
      <c r="K22" s="2">
        <v>0.61480000000000001</v>
      </c>
      <c r="L22" s="2">
        <v>0.59609999999999996</v>
      </c>
      <c r="M22" s="2">
        <v>0.60580000000000001</v>
      </c>
      <c r="N22" s="2">
        <v>0.62839999999999996</v>
      </c>
      <c r="O22" s="2">
        <v>0.60929999999999995</v>
      </c>
      <c r="P22" s="2">
        <v>0.58899999999999997</v>
      </c>
      <c r="Q22" s="2">
        <v>0.61519999999999997</v>
      </c>
      <c r="R22" s="2">
        <v>0.61770000000000003</v>
      </c>
      <c r="S22" s="2">
        <v>0.59330000000000005</v>
      </c>
      <c r="T22" s="2">
        <v>0.61080000000000001</v>
      </c>
      <c r="U22" s="2">
        <v>0.61199999999999999</v>
      </c>
      <c r="V22" s="2">
        <v>0.59940000000000004</v>
      </c>
      <c r="W22" s="2">
        <f t="shared" si="0"/>
        <v>0.60888499999999979</v>
      </c>
      <c r="X22" s="2">
        <f t="shared" si="4"/>
        <v>1.3180738538528584E-2</v>
      </c>
      <c r="Y22" s="2">
        <f t="shared" si="1"/>
        <v>2.1647336588236841</v>
      </c>
      <c r="Z22" s="2">
        <f t="shared" si="2"/>
        <v>0.58760000000000001</v>
      </c>
      <c r="AA22" s="2">
        <f t="shared" si="3"/>
        <v>0.63360000000000005</v>
      </c>
    </row>
    <row r="23" spans="1:27" x14ac:dyDescent="0.25">
      <c r="A23" t="s">
        <v>36</v>
      </c>
      <c r="B23" t="s">
        <v>29</v>
      </c>
      <c r="C23" s="2">
        <v>0.76949999999999996</v>
      </c>
      <c r="D23" s="2">
        <v>0.8256</v>
      </c>
      <c r="E23" s="2">
        <v>0.85719999999999996</v>
      </c>
      <c r="F23" s="2">
        <v>0.85270000000000001</v>
      </c>
      <c r="G23" s="2">
        <v>0.75529999999999997</v>
      </c>
      <c r="H23" s="2">
        <v>0.81289999999999996</v>
      </c>
      <c r="I23" s="2">
        <v>0.76319999999999999</v>
      </c>
      <c r="J23" s="2">
        <v>0.83819999999999995</v>
      </c>
      <c r="K23" s="2">
        <v>0.82989999999999997</v>
      </c>
      <c r="L23" s="2">
        <v>0.76949999999999996</v>
      </c>
      <c r="M23" s="2">
        <v>0.83309999999999995</v>
      </c>
      <c r="N23" s="2">
        <v>0.74129999999999996</v>
      </c>
      <c r="O23" s="2">
        <v>0.82669999999999999</v>
      </c>
      <c r="P23" s="2">
        <v>0.76300000000000001</v>
      </c>
      <c r="Q23" s="2">
        <v>0.83099999999999996</v>
      </c>
      <c r="R23" s="2">
        <v>0.87290000000000001</v>
      </c>
      <c r="S23" s="2">
        <v>0.74839999999999995</v>
      </c>
      <c r="T23" s="2">
        <v>0.79759999999999998</v>
      </c>
      <c r="U23" s="2">
        <v>0.78700000000000003</v>
      </c>
      <c r="V23" s="2">
        <v>0.84209999999999996</v>
      </c>
      <c r="W23" s="2">
        <f t="shared" si="0"/>
        <v>0.80585499999999999</v>
      </c>
      <c r="X23" s="2">
        <f t="shared" si="4"/>
        <v>4.0561642173233985E-2</v>
      </c>
      <c r="Y23" s="2">
        <f t="shared" si="1"/>
        <v>5.0333673146203708</v>
      </c>
      <c r="Z23" s="2">
        <f t="shared" si="2"/>
        <v>0.74129999999999996</v>
      </c>
      <c r="AA23" s="2">
        <f t="shared" si="3"/>
        <v>0.87290000000000001</v>
      </c>
    </row>
    <row r="24" spans="1:27" x14ac:dyDescent="0.25">
      <c r="A24" t="s">
        <v>36</v>
      </c>
      <c r="B24" t="s">
        <v>30</v>
      </c>
      <c r="C24" s="2">
        <v>5.1130000000000004</v>
      </c>
      <c r="D24" s="2">
        <v>5.2199</v>
      </c>
      <c r="E24" s="2">
        <v>5.0777999999999999</v>
      </c>
      <c r="F24" s="2">
        <v>5.0655000000000001</v>
      </c>
      <c r="G24" s="2">
        <v>5.2084999999999999</v>
      </c>
      <c r="H24" s="2">
        <v>5.1933999999999996</v>
      </c>
      <c r="I24" s="2">
        <v>5.2061000000000002</v>
      </c>
      <c r="J24" s="2">
        <v>5.3342999999999998</v>
      </c>
      <c r="K24" s="2">
        <v>4.8902999999999999</v>
      </c>
      <c r="L24" s="2">
        <v>5.0616000000000003</v>
      </c>
      <c r="M24" s="2">
        <v>5.4123000000000001</v>
      </c>
      <c r="N24" s="2">
        <v>5.2110000000000003</v>
      </c>
      <c r="O24" s="2">
        <v>4.9783999999999997</v>
      </c>
      <c r="P24" s="2">
        <v>5.0049999999999999</v>
      </c>
      <c r="Q24" s="2">
        <v>5.1540999999999997</v>
      </c>
      <c r="R24" s="2">
        <v>5.2617000000000003</v>
      </c>
      <c r="S24" s="2">
        <v>5.3856000000000002</v>
      </c>
      <c r="T24" s="2">
        <v>4.9722999999999997</v>
      </c>
      <c r="U24" s="2">
        <v>4.9993999999999996</v>
      </c>
      <c r="V24" s="2">
        <v>5.1586999999999996</v>
      </c>
      <c r="W24" s="2">
        <f t="shared" si="0"/>
        <v>5.1454449999999996</v>
      </c>
      <c r="X24" s="2">
        <f t="shared" si="4"/>
        <v>0.14164439340902465</v>
      </c>
      <c r="Y24" s="2">
        <f t="shared" si="1"/>
        <v>2.7528113391363558</v>
      </c>
      <c r="Z24" s="2">
        <f t="shared" si="2"/>
        <v>4.8902999999999999</v>
      </c>
      <c r="AA24" s="2">
        <f t="shared" si="3"/>
        <v>5.4123000000000001</v>
      </c>
    </row>
    <row r="25" spans="1:27" x14ac:dyDescent="0.25">
      <c r="A25" t="s">
        <v>36</v>
      </c>
      <c r="B25" t="s">
        <v>31</v>
      </c>
      <c r="C25" s="2">
        <v>0.89339999999999997</v>
      </c>
      <c r="D25" s="2">
        <v>0.89470000000000005</v>
      </c>
      <c r="E25" s="2">
        <v>0.89800000000000002</v>
      </c>
      <c r="F25" s="2">
        <v>0.89639999999999997</v>
      </c>
      <c r="G25" s="2">
        <v>0.88639999999999997</v>
      </c>
      <c r="H25" s="2">
        <v>0.90200000000000002</v>
      </c>
      <c r="I25" s="2">
        <v>0.90210000000000001</v>
      </c>
      <c r="J25" s="2">
        <v>0.89859999999999995</v>
      </c>
      <c r="K25" s="2">
        <v>0.90359999999999996</v>
      </c>
      <c r="L25" s="2">
        <v>0.89559999999999995</v>
      </c>
      <c r="M25" s="2">
        <v>0.89600000000000002</v>
      </c>
      <c r="N25" s="2">
        <v>0.89570000000000005</v>
      </c>
      <c r="O25" s="2">
        <v>0.89190000000000003</v>
      </c>
      <c r="P25" s="2">
        <v>0.9022</v>
      </c>
      <c r="Q25" s="2">
        <v>0.90329999999999999</v>
      </c>
      <c r="R25" s="2">
        <v>0.8992</v>
      </c>
      <c r="S25" s="2">
        <v>0.88970000000000005</v>
      </c>
      <c r="T25" s="2">
        <v>0.89710000000000001</v>
      </c>
      <c r="U25" s="2">
        <v>0.89880000000000004</v>
      </c>
      <c r="V25" s="2">
        <v>0.89470000000000005</v>
      </c>
      <c r="W25" s="2">
        <f t="shared" si="0"/>
        <v>0.89696999999999993</v>
      </c>
      <c r="X25" s="2">
        <f t="shared" si="4"/>
        <v>4.548811296429681E-3</v>
      </c>
      <c r="Y25" s="2">
        <f t="shared" si="1"/>
        <v>0.50713081780100577</v>
      </c>
      <c r="Z25" s="2">
        <f t="shared" si="2"/>
        <v>0.88639999999999997</v>
      </c>
      <c r="AA25" s="2">
        <f t="shared" si="3"/>
        <v>0.90359999999999996</v>
      </c>
    </row>
    <row r="26" spans="1:27" x14ac:dyDescent="0.25">
      <c r="A26" t="s">
        <v>36</v>
      </c>
      <c r="B26" t="s">
        <v>32</v>
      </c>
      <c r="C26" s="2">
        <v>0.1888</v>
      </c>
      <c r="D26" s="2">
        <v>0.20399999999999999</v>
      </c>
      <c r="E26" s="2">
        <v>0.19270000000000001</v>
      </c>
      <c r="F26" s="2">
        <v>0.193</v>
      </c>
      <c r="G26" s="2">
        <v>0.18290000000000001</v>
      </c>
      <c r="H26" s="2">
        <v>0.21240000000000001</v>
      </c>
      <c r="I26" s="2">
        <v>0.20180000000000001</v>
      </c>
      <c r="J26" s="2">
        <v>0.1963</v>
      </c>
      <c r="K26" s="2">
        <v>0.20069999999999999</v>
      </c>
      <c r="L26" s="2">
        <v>0.19500000000000001</v>
      </c>
      <c r="M26" s="2">
        <v>0.20710000000000001</v>
      </c>
      <c r="N26" s="2">
        <v>0.18679999999999999</v>
      </c>
      <c r="O26" s="2">
        <v>0.19420000000000001</v>
      </c>
      <c r="P26" s="2">
        <v>0.21249999999999999</v>
      </c>
      <c r="Q26" s="2">
        <v>0.2016</v>
      </c>
      <c r="R26" s="2">
        <v>0.20030000000000001</v>
      </c>
      <c r="S26" s="2">
        <v>0.2089</v>
      </c>
      <c r="T26" s="2">
        <v>0.19819999999999999</v>
      </c>
      <c r="U26" s="2">
        <v>0.22950000000000001</v>
      </c>
      <c r="V26" s="2">
        <v>0.21229999999999999</v>
      </c>
      <c r="W26" s="2">
        <f t="shared" si="0"/>
        <v>0.20094999999999996</v>
      </c>
      <c r="X26" s="2">
        <f t="shared" si="4"/>
        <v>1.0846901085466518E-2</v>
      </c>
      <c r="Y26" s="2">
        <f t="shared" si="1"/>
        <v>5.3978109407646278</v>
      </c>
      <c r="Z26" s="2">
        <f t="shared" si="2"/>
        <v>0.18290000000000001</v>
      </c>
      <c r="AA26" s="2">
        <f t="shared" si="3"/>
        <v>0.22950000000000001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activeCell="C15" sqref="C15"/>
    </sheetView>
  </sheetViews>
  <sheetFormatPr defaultRowHeight="15" x14ac:dyDescent="0.25"/>
  <cols>
    <col min="1" max="6" width="20" customWidth="1"/>
  </cols>
  <sheetData>
    <row r="1" spans="1:6" x14ac:dyDescent="0.25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x14ac:dyDescent="0.25">
      <c r="A2" t="s">
        <v>27</v>
      </c>
      <c r="B2" t="str">
        <f>TEXT(Results_Table12!W2,"0.000")&amp;" ± "&amp;TEXT(Results_Table12!X2,"0.000")</f>
        <v>0.568 ± 0.018</v>
      </c>
      <c r="C2" t="str">
        <f>TEXT(Results_Table12!W3,"0.000")&amp;" ± "&amp;TEXT(Results_Table12!X3,"0.000")</f>
        <v>0.753 ± 0.020</v>
      </c>
      <c r="D2" t="str">
        <f>TEXT(Results_Table12!W4,"0.000")&amp;" ± "&amp;TEXT(Results_Table12!X4,"0.000")</f>
        <v>4.811 ± 0.150</v>
      </c>
      <c r="E2" t="str">
        <f>TEXT(Results_Table12!W5,"0.000")&amp;" ± "&amp;TEXT(Results_Table12!X5,"0.000")</f>
        <v>0.904 ± 0.004</v>
      </c>
      <c r="F2" t="str">
        <f>TEXT(Results_Table12!W6,"0.000")&amp;" ± "&amp;TEXT(Results_Table12!X6,"0.000")</f>
        <v>0.175 ± 0.009</v>
      </c>
    </row>
    <row r="3" spans="1:6" x14ac:dyDescent="0.25">
      <c r="A3" t="s">
        <v>33</v>
      </c>
      <c r="B3" t="str">
        <f>TEXT(Results_Table12!W7,"0.000")&amp;" ± "&amp;TEXT(Results_Table12!X7,"0.000")</f>
        <v>0.741 ± 0.033</v>
      </c>
      <c r="C3" t="str">
        <f>TEXT(Results_Table12!W8,"0.000")&amp;" ± "&amp;TEXT(Results_Table12!X8,"0.000")</f>
        <v>0.982 ± 0.029</v>
      </c>
      <c r="D3" t="str">
        <f>TEXT(Results_Table12!W9,"0.000")&amp;" ± "&amp;TEXT(Results_Table12!X9,"0.000")</f>
        <v>6.273 ± 0.307</v>
      </c>
      <c r="E3" t="str">
        <f>TEXT(Results_Table12!W10,"0.000")&amp;" ± "&amp;TEXT(Results_Table12!X10,"0.000")</f>
        <v>0.875 ± 0.005</v>
      </c>
      <c r="F3" t="str">
        <f>TEXT(Results_Table12!W11,"0.000")&amp;" ± "&amp;TEXT(Results_Table12!X11,"0.000")</f>
        <v>0.243 ± 0.016</v>
      </c>
    </row>
    <row r="4" spans="1:6" x14ac:dyDescent="0.25">
      <c r="A4" t="s">
        <v>34</v>
      </c>
      <c r="B4" t="str">
        <f>TEXT(Results_Table12!W12,"0.000")&amp;" ± "&amp;TEXT(Results_Table12!X12,"0.000")</f>
        <v>0.709 ± 0.025</v>
      </c>
      <c r="C4" t="str">
        <f>TEXT(Results_Table12!W13,"0.000")&amp;" ± "&amp;TEXT(Results_Table12!X13,"0.000")</f>
        <v>0.938 ± 0.024</v>
      </c>
      <c r="D4" t="str">
        <f>TEXT(Results_Table12!W14,"0.000")&amp;" ± "&amp;TEXT(Results_Table12!X14,"0.000")</f>
        <v>5.993 ± 0.206</v>
      </c>
      <c r="E4" t="str">
        <f>TEXT(Results_Table12!W15,"0.000")&amp;" ± "&amp;TEXT(Results_Table12!X15,"0.000")</f>
        <v>0.881 ± 0.005</v>
      </c>
      <c r="F4" t="str">
        <f>TEXT(Results_Table12!W16,"0.000")&amp;" ± "&amp;TEXT(Results_Table12!X16,"0.000")</f>
        <v>0.232 ± 0.013</v>
      </c>
    </row>
    <row r="5" spans="1:6" x14ac:dyDescent="0.25">
      <c r="A5" t="s">
        <v>35</v>
      </c>
      <c r="B5" t="str">
        <f>TEXT(Results_Table12!W17,"0.000")&amp;" ± "&amp;TEXT(Results_Table12!X17,"0.000")</f>
        <v>0.659 ± 0.016</v>
      </c>
      <c r="C5" t="str">
        <f>TEXT(Results_Table12!W18,"0.000")&amp;" ± "&amp;TEXT(Results_Table12!X18,"0.000")</f>
        <v>0.872 ± 0.035</v>
      </c>
      <c r="D5" t="str">
        <f>TEXT(Results_Table12!W19,"0.000")&amp;" ± "&amp;TEXT(Results_Table12!X19,"0.000")</f>
        <v>5.571 ± 0.254</v>
      </c>
      <c r="E5" t="str">
        <f>TEXT(Results_Table12!W20,"0.000")&amp;" ± "&amp;TEXT(Results_Table12!X20,"0.000")</f>
        <v>0.889 ± 0.006</v>
      </c>
      <c r="F5" t="str">
        <f>TEXT(Results_Table12!W21,"0.000")&amp;" ± "&amp;TEXT(Results_Table12!X21,"0.000")</f>
        <v>0.219 ± 0.010</v>
      </c>
    </row>
    <row r="6" spans="1:6" x14ac:dyDescent="0.25">
      <c r="A6" t="s">
        <v>36</v>
      </c>
      <c r="B6" t="str">
        <f>TEXT(Results_Table12!W22,"0.000")&amp;" ± "&amp;TEXT(Results_Table12!X22,"0.000")</f>
        <v>0.609 ± 0.013</v>
      </c>
      <c r="C6" t="str">
        <f>TEXT(Results_Table12!W23,"0.000")&amp;" ± "&amp;TEXT(Results_Table12!X23,"0.000")</f>
        <v>0.806 ± 0.041</v>
      </c>
      <c r="D6" t="str">
        <f>TEXT(Results_Table12!W24,"0.000")&amp;" ± "&amp;TEXT(Results_Table12!X24,"0.000")</f>
        <v>5.145 ± 0.142</v>
      </c>
      <c r="E6" t="str">
        <f>TEXT(Results_Table12!W25,"0.000")&amp;" ± "&amp;TEXT(Results_Table12!X25,"0.000")</f>
        <v>0.897 ± 0.005</v>
      </c>
      <c r="F6" t="str">
        <f>TEXT(Results_Table12!W26,"0.000")&amp;" ± "&amp;TEXT(Results_Table12!X26,"0.000")</f>
        <v>0.201 ± 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Results_Table12</vt:lpstr>
      <vt:lpstr>Table12_Summary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2026-09-26T17:48:49Z</dcterms:created>
  <dcterms:modified xsi:type="dcterms:W3CDTF">2026-09-26T17:51:35Z</dcterms:modified>
</cp:coreProperties>
</file>