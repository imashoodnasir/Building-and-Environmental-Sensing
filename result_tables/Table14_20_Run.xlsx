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zam\Downloads\"/>
    </mc:Choice>
  </mc:AlternateContent>
  <xr:revisionPtr revIDLastSave="0" documentId="13_ncr:1_{5646B07F-8913-40ED-A9EB-7D0B15D4A0F5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lts_Table14" sheetId="1" r:id="rId1"/>
    <sheet name="Table14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Y35" i="1" s="1"/>
  <c r="X36" i="1"/>
  <c r="X37" i="1"/>
  <c r="X38" i="1"/>
  <c r="X39" i="1"/>
  <c r="X40" i="1"/>
  <c r="X41" i="1"/>
  <c r="X2" i="1"/>
  <c r="AA41" i="1"/>
  <c r="Z41" i="1"/>
  <c r="W41" i="1"/>
  <c r="E11" i="2" s="1"/>
  <c r="AA40" i="1"/>
  <c r="Z40" i="1"/>
  <c r="W40" i="1"/>
  <c r="D11" i="2" s="1"/>
  <c r="AA39" i="1"/>
  <c r="Z39" i="1"/>
  <c r="W39" i="1"/>
  <c r="AA38" i="1"/>
  <c r="Z38" i="1"/>
  <c r="W38" i="1"/>
  <c r="F11" i="2" s="1"/>
  <c r="AA37" i="1"/>
  <c r="Z37" i="1"/>
  <c r="W37" i="1"/>
  <c r="AA36" i="1"/>
  <c r="Z36" i="1"/>
  <c r="W36" i="1"/>
  <c r="AA35" i="1"/>
  <c r="Z35" i="1"/>
  <c r="W35" i="1"/>
  <c r="C10" i="2" s="1"/>
  <c r="AA34" i="1"/>
  <c r="Z34" i="1"/>
  <c r="Y34" i="1"/>
  <c r="W34" i="1"/>
  <c r="AA33" i="1"/>
  <c r="Z33" i="1"/>
  <c r="Y33" i="1"/>
  <c r="W33" i="1"/>
  <c r="AA32" i="1"/>
  <c r="Z32" i="1"/>
  <c r="W32" i="1"/>
  <c r="AA31" i="1"/>
  <c r="Z31" i="1"/>
  <c r="W31" i="1"/>
  <c r="AA30" i="1"/>
  <c r="Z30" i="1"/>
  <c r="W30" i="1"/>
  <c r="AA29" i="1"/>
  <c r="Z29" i="1"/>
  <c r="W29" i="1"/>
  <c r="E8" i="2" s="1"/>
  <c r="AA28" i="1"/>
  <c r="Z28" i="1"/>
  <c r="Y28" i="1"/>
  <c r="W28" i="1"/>
  <c r="D8" i="2" s="1"/>
  <c r="AA27" i="1"/>
  <c r="Z27" i="1"/>
  <c r="Y27" i="1"/>
  <c r="W27" i="1"/>
  <c r="C8" i="2" s="1"/>
  <c r="AA26" i="1"/>
  <c r="Z26" i="1"/>
  <c r="W26" i="1"/>
  <c r="AA25" i="1"/>
  <c r="Z25" i="1"/>
  <c r="W25" i="1"/>
  <c r="AA24" i="1"/>
  <c r="Z24" i="1"/>
  <c r="W24" i="1"/>
  <c r="D7" i="2" s="1"/>
  <c r="AA23" i="1"/>
  <c r="Z23" i="1"/>
  <c r="W23" i="1"/>
  <c r="AA22" i="1"/>
  <c r="Z22" i="1"/>
  <c r="W22" i="1"/>
  <c r="AA21" i="1"/>
  <c r="Z21" i="1"/>
  <c r="W21" i="1"/>
  <c r="E6" i="2" s="1"/>
  <c r="AA20" i="1"/>
  <c r="Z20" i="1"/>
  <c r="W20" i="1"/>
  <c r="D6" i="2" s="1"/>
  <c r="AA19" i="1"/>
  <c r="Z19" i="1"/>
  <c r="Y19" i="1"/>
  <c r="W19" i="1"/>
  <c r="AA18" i="1"/>
  <c r="Z18" i="1"/>
  <c r="Y18" i="1"/>
  <c r="W18" i="1"/>
  <c r="AA17" i="1"/>
  <c r="Z17" i="1"/>
  <c r="W17" i="1"/>
  <c r="E5" i="2" s="1"/>
  <c r="AA16" i="1"/>
  <c r="Z16" i="1"/>
  <c r="W16" i="1"/>
  <c r="D5" i="2" s="1"/>
  <c r="AA15" i="1"/>
  <c r="Z15" i="1"/>
  <c r="Y15" i="1"/>
  <c r="W15" i="1"/>
  <c r="AA14" i="1"/>
  <c r="Z14" i="1"/>
  <c r="W14" i="1"/>
  <c r="AA13" i="1"/>
  <c r="Z13" i="1"/>
  <c r="W13" i="1"/>
  <c r="AA12" i="1"/>
  <c r="Z12" i="1"/>
  <c r="W12" i="1"/>
  <c r="D4" i="2" s="1"/>
  <c r="AA11" i="1"/>
  <c r="Z11" i="1"/>
  <c r="Y11" i="1"/>
  <c r="W11" i="1"/>
  <c r="AA10" i="1"/>
  <c r="Z10" i="1"/>
  <c r="Y10" i="1"/>
  <c r="W10" i="1"/>
  <c r="AA9" i="1"/>
  <c r="Z9" i="1"/>
  <c r="Y9" i="1"/>
  <c r="W9" i="1"/>
  <c r="AA8" i="1"/>
  <c r="Z8" i="1"/>
  <c r="W8" i="1"/>
  <c r="D3" i="2" s="1"/>
  <c r="AA7" i="1"/>
  <c r="Z7" i="1"/>
  <c r="W7" i="1"/>
  <c r="C3" i="2" s="1"/>
  <c r="AA6" i="1"/>
  <c r="Z6" i="1"/>
  <c r="W6" i="1"/>
  <c r="AA5" i="1"/>
  <c r="Z5" i="1"/>
  <c r="W5" i="1"/>
  <c r="E2" i="2" s="1"/>
  <c r="AA4" i="1"/>
  <c r="Z4" i="1"/>
  <c r="Y4" i="1"/>
  <c r="W4" i="1"/>
  <c r="AA3" i="1"/>
  <c r="Z3" i="1"/>
  <c r="W3" i="1"/>
  <c r="C2" i="2" s="1"/>
  <c r="AA2" i="1"/>
  <c r="Z2" i="1"/>
  <c r="Y2" i="1"/>
  <c r="W2" i="1"/>
  <c r="B2" i="2" s="1"/>
  <c r="D10" i="2" l="1"/>
  <c r="C11" i="2"/>
  <c r="Y41" i="1"/>
  <c r="Y40" i="1"/>
  <c r="Y39" i="1"/>
  <c r="Y26" i="1"/>
  <c r="Y36" i="1"/>
  <c r="Y32" i="1"/>
  <c r="Y31" i="1"/>
  <c r="Y30" i="1"/>
  <c r="Y29" i="1"/>
  <c r="Y22" i="1"/>
  <c r="Y20" i="1"/>
  <c r="Y17" i="1"/>
  <c r="Y16" i="1"/>
  <c r="Y14" i="1"/>
  <c r="Y13" i="1"/>
  <c r="Y12" i="1"/>
  <c r="Y8" i="1"/>
  <c r="Y5" i="1"/>
  <c r="Y3" i="1"/>
  <c r="Y23" i="1"/>
  <c r="Y21" i="1"/>
  <c r="Y7" i="1"/>
  <c r="Y24" i="1"/>
  <c r="Y6" i="1"/>
  <c r="E9" i="2"/>
  <c r="D9" i="2"/>
  <c r="C6" i="2"/>
  <c r="C7" i="2"/>
  <c r="E3" i="2"/>
  <c r="C9" i="2"/>
  <c r="C4" i="2"/>
  <c r="E4" i="2"/>
  <c r="D2" i="2"/>
  <c r="C5" i="2"/>
  <c r="Y38" i="1"/>
  <c r="B11" i="2"/>
  <c r="Y37" i="1"/>
  <c r="E10" i="2"/>
  <c r="B10" i="2"/>
  <c r="F10" i="2"/>
  <c r="F9" i="2"/>
  <c r="B9" i="2"/>
  <c r="F8" i="2"/>
  <c r="B8" i="2"/>
  <c r="Y25" i="1"/>
  <c r="E7" i="2"/>
  <c r="B7" i="2"/>
  <c r="F7" i="2"/>
  <c r="F6" i="2"/>
  <c r="B6" i="2"/>
  <c r="F5" i="2"/>
  <c r="B5" i="2"/>
  <c r="B4" i="2"/>
  <c r="F4" i="2"/>
  <c r="B3" i="2"/>
  <c r="F3" i="2"/>
</calcChain>
</file>

<file path=xl/sharedStrings.xml><?xml version="1.0" encoding="utf-8"?>
<sst xmlns="http://schemas.openxmlformats.org/spreadsheetml/2006/main" count="123" uniqueCount="42">
  <si>
    <t>Configuration</t>
  </si>
  <si>
    <t>Metric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</si>
  <si>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</si>
  <si>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</si>
  <si>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</si>
  <si>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</si>
  <si>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</si>
  <si>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</si>
  <si>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</si>
  <si>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</si>
  <si>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</si>
  <si>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</si>
  <si>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</si>
  <si>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</si>
  <si>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</si>
  <si>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</si>
  <si>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</si>
  <si>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</si>
  <si>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</si>
  <si>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</si>
  <si>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</si>
  <si>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</si>
  <si>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Mean</t>
  </si>
  <si>
    <t>SD</t>
  </si>
  <si>
    <t>CV (%)</t>
  </si>
  <si>
    <t>Min</t>
  </si>
  <si>
    <t>Max</t>
  </si>
  <si>
    <t>Full model</t>
  </si>
  <si>
    <t>MAE</t>
  </si>
  <si>
    <t>RMSE</t>
  </si>
  <si>
    <t>sMAPE (%)</t>
  </si>
  <si>
    <t>R2</t>
  </si>
  <si>
    <t>Without harmonization</t>
  </si>
  <si>
    <t>Without modality masking</t>
  </si>
  <si>
    <t>Without spatial graph</t>
  </si>
  <si>
    <t>Without learned dynamic graph</t>
  </si>
  <si>
    <t>Without domain alignment</t>
  </si>
  <si>
    <t>Without uncertainty head</t>
  </si>
  <si>
    <t>Without temporal encoder</t>
  </si>
  <si>
    <t>Without modality-specific encoders</t>
  </si>
  <si>
    <t>Single shared encoder</t>
  </si>
  <si>
    <t>Relative MAE Δ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</si>
</sst>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workbookViewId="0">
      <pane xSplit="2" ySplit="1" topLeftCell="M2" activePane="bottomRight" state="frozen"/>
      <selection pane="topRight"/>
      <selection pane="bottomLeft"/>
      <selection pane="bottomRight" activeCell="X2" sqref="X2:X41"/>
    </sheetView>
  </sheetViews>
  <sheetFormatPr defaultRowHeight="15" x14ac:dyDescent="0.25"/>
  <cols>
    <col min="1" max="1" width="38" customWidth="1"/>
    <col min="2" max="2" width="16" customWidth="1"/>
    <col min="3" max="27" width="1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s="2">
        <v>0.56100000000000005</v>
      </c>
      <c r="D2" s="2">
        <v>0.57830000000000004</v>
      </c>
      <c r="E2" s="2">
        <v>0.57079999999999997</v>
      </c>
      <c r="F2" s="2">
        <v>0.57530000000000003</v>
      </c>
      <c r="G2" s="2">
        <v>0.57069999999999999</v>
      </c>
      <c r="H2" s="2">
        <v>0.58189999999999997</v>
      </c>
      <c r="I2" s="2">
        <v>0.5776</v>
      </c>
      <c r="J2" s="2">
        <v>0.55500000000000005</v>
      </c>
      <c r="K2" s="2">
        <v>0.56430000000000002</v>
      </c>
      <c r="L2" s="2">
        <v>0.58560000000000001</v>
      </c>
      <c r="M2" s="2">
        <v>0.5897</v>
      </c>
      <c r="N2" s="2">
        <v>0.59309999999999996</v>
      </c>
      <c r="O2" s="2">
        <v>0.5544</v>
      </c>
      <c r="P2" s="2">
        <v>0.58289999999999997</v>
      </c>
      <c r="Q2" s="2">
        <v>0.60729999999999995</v>
      </c>
      <c r="R2" s="2">
        <v>0.5776</v>
      </c>
      <c r="S2" s="2">
        <v>0.57499999999999996</v>
      </c>
      <c r="T2" s="2">
        <v>0.57250000000000001</v>
      </c>
      <c r="U2" s="2">
        <v>0.5887</v>
      </c>
      <c r="V2" s="2">
        <v>0.61799999999999999</v>
      </c>
      <c r="W2" s="2">
        <f t="shared" ref="W2:W41" si="0">AVERAGE(C2:V2)</f>
        <v>0.57898499999999997</v>
      </c>
      <c r="X2" s="2">
        <f>_xlfn.STDEV.S(C2:V2)</f>
        <v>1.577837544169066E-2</v>
      </c>
      <c r="Y2" s="2">
        <f t="shared" ref="Y2:Y41" si="1">IFERROR(X2/ABS(W2)*100,"")</f>
        <v>2.7251786214998077</v>
      </c>
      <c r="Z2" s="2">
        <f t="shared" ref="Z2:Z41" si="2">MIN(C2:V2)</f>
        <v>0.5544</v>
      </c>
      <c r="AA2" s="2">
        <f t="shared" ref="AA2:AA41" si="3">MAX(C2:V2)</f>
        <v>0.61799999999999999</v>
      </c>
    </row>
    <row r="3" spans="1:27" x14ac:dyDescent="0.25">
      <c r="A3" t="s">
        <v>27</v>
      </c>
      <c r="B3" t="s">
        <v>29</v>
      </c>
      <c r="C3" s="2">
        <v>0.74299999999999999</v>
      </c>
      <c r="D3" s="2">
        <v>0.74250000000000005</v>
      </c>
      <c r="E3" s="2">
        <v>0.72909999999999997</v>
      </c>
      <c r="F3" s="2">
        <v>0.75700000000000001</v>
      </c>
      <c r="G3" s="2">
        <v>0.78680000000000005</v>
      </c>
      <c r="H3" s="2">
        <v>0.84830000000000005</v>
      </c>
      <c r="I3" s="2">
        <v>0.70660000000000001</v>
      </c>
      <c r="J3" s="2">
        <v>0.75409999999999999</v>
      </c>
      <c r="K3" s="2">
        <v>0.75329999999999997</v>
      </c>
      <c r="L3" s="2">
        <v>0.79749999999999999</v>
      </c>
      <c r="M3" s="2">
        <v>0.78039999999999998</v>
      </c>
      <c r="N3" s="2">
        <v>0.77869999999999995</v>
      </c>
      <c r="O3" s="2">
        <v>0.74099999999999999</v>
      </c>
      <c r="P3" s="2">
        <v>0.7712</v>
      </c>
      <c r="Q3" s="2">
        <v>0.76239999999999997</v>
      </c>
      <c r="R3" s="2">
        <v>0.76239999999999997</v>
      </c>
      <c r="S3" s="2">
        <v>0.80059999999999998</v>
      </c>
      <c r="T3" s="2">
        <v>0.75580000000000003</v>
      </c>
      <c r="U3" s="2">
        <v>0.77190000000000003</v>
      </c>
      <c r="V3" s="2">
        <v>0.73939999999999995</v>
      </c>
      <c r="W3" s="2">
        <f t="shared" si="0"/>
        <v>0.7641</v>
      </c>
      <c r="X3" s="2">
        <f t="shared" ref="X3:X41" si="4">_xlfn.STDEV.S(C3:V3)</f>
        <v>3.041059372202911E-2</v>
      </c>
      <c r="Y3" s="2">
        <f t="shared" si="1"/>
        <v>3.9799232720886155</v>
      </c>
      <c r="Z3" s="2">
        <f t="shared" si="2"/>
        <v>0.70660000000000001</v>
      </c>
      <c r="AA3" s="2">
        <f t="shared" si="3"/>
        <v>0.84830000000000005</v>
      </c>
    </row>
    <row r="4" spans="1:27" x14ac:dyDescent="0.25">
      <c r="A4" t="s">
        <v>27</v>
      </c>
      <c r="B4" t="s">
        <v>30</v>
      </c>
      <c r="C4" s="2">
        <v>4.7626999999999997</v>
      </c>
      <c r="D4" s="2">
        <v>5.0953999999999997</v>
      </c>
      <c r="E4" s="2">
        <v>5.1406000000000001</v>
      </c>
      <c r="F4" s="2">
        <v>4.6397000000000004</v>
      </c>
      <c r="G4" s="2">
        <v>4.9642999999999997</v>
      </c>
      <c r="H4" s="2">
        <v>4.8254999999999999</v>
      </c>
      <c r="I4" s="2">
        <v>4.9048999999999996</v>
      </c>
      <c r="J4" s="2">
        <v>4.9995000000000003</v>
      </c>
      <c r="K4" s="2">
        <v>5.133</v>
      </c>
      <c r="L4" s="2">
        <v>4.7961</v>
      </c>
      <c r="M4" s="2">
        <v>4.9619999999999997</v>
      </c>
      <c r="N4" s="2">
        <v>4.9219999999999997</v>
      </c>
      <c r="O4" s="2">
        <v>4.8453999999999997</v>
      </c>
      <c r="P4" s="2">
        <v>4.8604000000000003</v>
      </c>
      <c r="Q4" s="2">
        <v>4.7478999999999996</v>
      </c>
      <c r="R4" s="2">
        <v>4.7984</v>
      </c>
      <c r="S4" s="2">
        <v>4.7911999999999999</v>
      </c>
      <c r="T4" s="2">
        <v>4.7727000000000004</v>
      </c>
      <c r="U4" s="2">
        <v>4.78</v>
      </c>
      <c r="V4" s="2">
        <v>5.0646000000000004</v>
      </c>
      <c r="W4" s="2">
        <f t="shared" si="0"/>
        <v>4.8903149999999993</v>
      </c>
      <c r="X4" s="2">
        <f t="shared" si="4"/>
        <v>0.14093005086510862</v>
      </c>
      <c r="Y4" s="2">
        <f t="shared" si="1"/>
        <v>2.8818194914869215</v>
      </c>
      <c r="Z4" s="2">
        <f t="shared" si="2"/>
        <v>4.6397000000000004</v>
      </c>
      <c r="AA4" s="2">
        <f t="shared" si="3"/>
        <v>5.1406000000000001</v>
      </c>
    </row>
    <row r="5" spans="1:27" x14ac:dyDescent="0.25">
      <c r="A5" t="s">
        <v>27</v>
      </c>
      <c r="B5" t="s">
        <v>31</v>
      </c>
      <c r="C5" s="2">
        <v>0.90610000000000002</v>
      </c>
      <c r="D5" s="2">
        <v>0.89649999999999996</v>
      </c>
      <c r="E5" s="2">
        <v>0.90459999999999996</v>
      </c>
      <c r="F5" s="2">
        <v>0.89400000000000002</v>
      </c>
      <c r="G5" s="2">
        <v>0.90290000000000004</v>
      </c>
      <c r="H5" s="2">
        <v>0.91559999999999997</v>
      </c>
      <c r="I5" s="2">
        <v>0.90410000000000001</v>
      </c>
      <c r="J5" s="2">
        <v>0.9073</v>
      </c>
      <c r="K5" s="2">
        <v>0.90059999999999996</v>
      </c>
      <c r="L5" s="2">
        <v>0.89610000000000001</v>
      </c>
      <c r="M5" s="2">
        <v>0.90280000000000005</v>
      </c>
      <c r="N5" s="2">
        <v>0.90569999999999995</v>
      </c>
      <c r="O5" s="2">
        <v>0.90890000000000004</v>
      </c>
      <c r="P5" s="2">
        <v>0.90959999999999996</v>
      </c>
      <c r="Q5" s="2">
        <v>0.90310000000000001</v>
      </c>
      <c r="R5" s="2">
        <v>0.90249999999999997</v>
      </c>
      <c r="S5" s="2">
        <v>0.89380000000000004</v>
      </c>
      <c r="T5" s="2">
        <v>0.90129999999999999</v>
      </c>
      <c r="U5" s="2">
        <v>0.90259999999999996</v>
      </c>
      <c r="V5" s="2">
        <v>0.90149999999999997</v>
      </c>
      <c r="W5" s="2">
        <f t="shared" si="0"/>
        <v>0.90298</v>
      </c>
      <c r="X5" s="2">
        <f t="shared" si="4"/>
        <v>5.346676291718153E-3</v>
      </c>
      <c r="Y5" s="2">
        <f t="shared" si="1"/>
        <v>0.59211458633836334</v>
      </c>
      <c r="Z5" s="2">
        <f t="shared" si="2"/>
        <v>0.89380000000000004</v>
      </c>
      <c r="AA5" s="2">
        <f t="shared" si="3"/>
        <v>0.91559999999999997</v>
      </c>
    </row>
    <row r="6" spans="1:27" x14ac:dyDescent="0.25">
      <c r="A6" t="s">
        <v>32</v>
      </c>
      <c r="B6" t="s">
        <v>28</v>
      </c>
      <c r="C6" s="2">
        <v>0.64339999999999997</v>
      </c>
      <c r="D6" s="2">
        <v>0.6764</v>
      </c>
      <c r="E6" s="2">
        <v>0.68510000000000004</v>
      </c>
      <c r="F6" s="2">
        <v>0.62009999999999998</v>
      </c>
      <c r="G6" s="2">
        <v>0.6724</v>
      </c>
      <c r="H6" s="2">
        <v>0.66790000000000005</v>
      </c>
      <c r="I6" s="2">
        <v>0.67610000000000003</v>
      </c>
      <c r="J6" s="2">
        <v>0.67920000000000003</v>
      </c>
      <c r="K6" s="2">
        <v>0.61990000000000001</v>
      </c>
      <c r="L6" s="2">
        <v>0.64039999999999997</v>
      </c>
      <c r="M6" s="2">
        <v>0.70599999999999996</v>
      </c>
      <c r="N6" s="2">
        <v>0.68930000000000002</v>
      </c>
      <c r="O6" s="2">
        <v>0.65790000000000004</v>
      </c>
      <c r="P6" s="2">
        <v>0.6583</v>
      </c>
      <c r="Q6" s="2">
        <v>0.71379999999999999</v>
      </c>
      <c r="R6" s="2">
        <v>0.66249999999999998</v>
      </c>
      <c r="S6" s="2">
        <v>0.64680000000000004</v>
      </c>
      <c r="T6" s="2">
        <v>0.70709999999999995</v>
      </c>
      <c r="U6" s="2">
        <v>0.64910000000000001</v>
      </c>
      <c r="V6" s="2">
        <v>0.67090000000000005</v>
      </c>
      <c r="W6" s="2">
        <f t="shared" si="0"/>
        <v>0.66713</v>
      </c>
      <c r="X6" s="2">
        <f t="shared" si="4"/>
        <v>2.6256570105103415E-2</v>
      </c>
      <c r="Y6" s="2">
        <f t="shared" si="1"/>
        <v>3.9357501693977808</v>
      </c>
      <c r="Z6" s="2">
        <f t="shared" si="2"/>
        <v>0.61990000000000001</v>
      </c>
      <c r="AA6" s="2">
        <f t="shared" si="3"/>
        <v>0.71379999999999999</v>
      </c>
    </row>
    <row r="7" spans="1:27" x14ac:dyDescent="0.25">
      <c r="A7" t="s">
        <v>32</v>
      </c>
      <c r="B7" t="s">
        <v>29</v>
      </c>
      <c r="C7" s="2">
        <v>0.80269999999999997</v>
      </c>
      <c r="D7" s="2">
        <v>0.91700000000000004</v>
      </c>
      <c r="E7" s="2">
        <v>0.86519999999999997</v>
      </c>
      <c r="F7" s="2">
        <v>0.8347</v>
      </c>
      <c r="G7" s="2">
        <v>0.84860000000000002</v>
      </c>
      <c r="H7" s="2">
        <v>0.8236</v>
      </c>
      <c r="I7" s="2">
        <v>0.84950000000000003</v>
      </c>
      <c r="J7" s="2">
        <v>0.90080000000000005</v>
      </c>
      <c r="K7" s="2">
        <v>0.82140000000000002</v>
      </c>
      <c r="L7" s="2">
        <v>0.91639999999999999</v>
      </c>
      <c r="M7" s="2">
        <v>0.93569999999999998</v>
      </c>
      <c r="N7" s="2">
        <v>0.92700000000000005</v>
      </c>
      <c r="O7" s="2">
        <v>0.90959999999999996</v>
      </c>
      <c r="P7" s="2">
        <v>0.85309999999999997</v>
      </c>
      <c r="Q7" s="2">
        <v>0.90629999999999999</v>
      </c>
      <c r="R7" s="2">
        <v>0.86140000000000005</v>
      </c>
      <c r="S7" s="2">
        <v>0.89380000000000004</v>
      </c>
      <c r="T7" s="2">
        <v>0.90780000000000005</v>
      </c>
      <c r="U7" s="2">
        <v>0.93459999999999999</v>
      </c>
      <c r="V7" s="2">
        <v>0.9042</v>
      </c>
      <c r="W7" s="2">
        <f t="shared" si="0"/>
        <v>0.88066999999999995</v>
      </c>
      <c r="X7" s="2">
        <f t="shared" si="4"/>
        <v>4.1278363135641594E-2</v>
      </c>
      <c r="Y7" s="2">
        <f t="shared" si="1"/>
        <v>4.6871544546358566</v>
      </c>
      <c r="Z7" s="2">
        <f t="shared" si="2"/>
        <v>0.80269999999999997</v>
      </c>
      <c r="AA7" s="2">
        <f t="shared" si="3"/>
        <v>0.93569999999999998</v>
      </c>
    </row>
    <row r="8" spans="1:27" x14ac:dyDescent="0.25">
      <c r="A8" t="s">
        <v>32</v>
      </c>
      <c r="B8" t="s">
        <v>30</v>
      </c>
      <c r="C8" s="2">
        <v>5.6637000000000004</v>
      </c>
      <c r="D8" s="2">
        <v>5.6257999999999999</v>
      </c>
      <c r="E8" s="2">
        <v>5.7111999999999998</v>
      </c>
      <c r="F8" s="2">
        <v>5.7107999999999999</v>
      </c>
      <c r="G8" s="2">
        <v>5.7942999999999998</v>
      </c>
      <c r="H8" s="2">
        <v>5.7428999999999997</v>
      </c>
      <c r="I8" s="2">
        <v>5.7289000000000003</v>
      </c>
      <c r="J8" s="2">
        <v>5.9653999999999998</v>
      </c>
      <c r="K8" s="2">
        <v>5.6908000000000003</v>
      </c>
      <c r="L8" s="2">
        <v>5.5656999999999996</v>
      </c>
      <c r="M8" s="2">
        <v>5.5903</v>
      </c>
      <c r="N8" s="2">
        <v>5.8437999999999999</v>
      </c>
      <c r="O8" s="2">
        <v>5.8396999999999997</v>
      </c>
      <c r="P8" s="2">
        <v>5.5891000000000002</v>
      </c>
      <c r="Q8" s="2">
        <v>5.4862000000000002</v>
      </c>
      <c r="R8" s="2">
        <v>5.1351000000000004</v>
      </c>
      <c r="S8" s="2">
        <v>5.6447000000000003</v>
      </c>
      <c r="T8" s="2">
        <v>5.4797000000000002</v>
      </c>
      <c r="U8" s="2">
        <v>5.5331000000000001</v>
      </c>
      <c r="V8" s="2">
        <v>5.4119000000000002</v>
      </c>
      <c r="W8" s="2">
        <f t="shared" si="0"/>
        <v>5.6376549999999996</v>
      </c>
      <c r="X8" s="2">
        <f t="shared" si="4"/>
        <v>0.18082429818967752</v>
      </c>
      <c r="Y8" s="2">
        <f t="shared" si="1"/>
        <v>3.2074381669271625</v>
      </c>
      <c r="Z8" s="2">
        <f t="shared" si="2"/>
        <v>5.1351000000000004</v>
      </c>
      <c r="AA8" s="2">
        <f t="shared" si="3"/>
        <v>5.9653999999999998</v>
      </c>
    </row>
    <row r="9" spans="1:27" x14ac:dyDescent="0.25">
      <c r="A9" t="s">
        <v>32</v>
      </c>
      <c r="B9" t="s">
        <v>31</v>
      </c>
      <c r="C9" s="2">
        <v>0.872</v>
      </c>
      <c r="D9" s="2">
        <v>0.89890000000000003</v>
      </c>
      <c r="E9" s="2">
        <v>0.89359999999999995</v>
      </c>
      <c r="F9" s="2">
        <v>0.8871</v>
      </c>
      <c r="G9" s="2">
        <v>0.8821</v>
      </c>
      <c r="H9" s="2">
        <v>0.89419999999999999</v>
      </c>
      <c r="I9" s="2">
        <v>0.89129999999999998</v>
      </c>
      <c r="J9" s="2">
        <v>0.90110000000000001</v>
      </c>
      <c r="K9" s="2">
        <v>0.88329999999999997</v>
      </c>
      <c r="L9" s="2">
        <v>0.88719999999999999</v>
      </c>
      <c r="M9" s="2">
        <v>0.88790000000000002</v>
      </c>
      <c r="N9" s="2">
        <v>0.89290000000000003</v>
      </c>
      <c r="O9" s="2">
        <v>0.88370000000000004</v>
      </c>
      <c r="P9" s="2">
        <v>0.88719999999999999</v>
      </c>
      <c r="Q9" s="2">
        <v>0.88270000000000004</v>
      </c>
      <c r="R9" s="2">
        <v>0.90500000000000003</v>
      </c>
      <c r="S9" s="2">
        <v>0.88319999999999999</v>
      </c>
      <c r="T9" s="2">
        <v>0.88590000000000002</v>
      </c>
      <c r="U9" s="2">
        <v>0.88980000000000004</v>
      </c>
      <c r="V9" s="2">
        <v>0.89149999999999996</v>
      </c>
      <c r="W9" s="2">
        <f t="shared" si="0"/>
        <v>0.88902999999999999</v>
      </c>
      <c r="X9" s="2">
        <f t="shared" si="4"/>
        <v>7.4953389024885273E-3</v>
      </c>
      <c r="Y9" s="2">
        <f t="shared" si="1"/>
        <v>0.84309178570897803</v>
      </c>
      <c r="Z9" s="2">
        <f t="shared" si="2"/>
        <v>0.872</v>
      </c>
      <c r="AA9" s="2">
        <f t="shared" si="3"/>
        <v>0.90500000000000003</v>
      </c>
    </row>
    <row r="10" spans="1:27" x14ac:dyDescent="0.25">
      <c r="A10" t="s">
        <v>33</v>
      </c>
      <c r="B10" t="s">
        <v>28</v>
      </c>
      <c r="C10" s="2">
        <v>0.73660000000000003</v>
      </c>
      <c r="D10" s="2">
        <v>0.70420000000000005</v>
      </c>
      <c r="E10" s="2">
        <v>0.65159999999999996</v>
      </c>
      <c r="F10" s="2">
        <v>0.68440000000000001</v>
      </c>
      <c r="G10" s="2">
        <v>0.6956</v>
      </c>
      <c r="H10" s="2">
        <v>0.74719999999999998</v>
      </c>
      <c r="I10" s="2">
        <v>0.67979999999999996</v>
      </c>
      <c r="J10" s="2">
        <v>0.71379999999999999</v>
      </c>
      <c r="K10" s="2">
        <v>0.69569999999999999</v>
      </c>
      <c r="L10" s="2">
        <v>0.69179999999999997</v>
      </c>
      <c r="M10" s="2">
        <v>0.68640000000000001</v>
      </c>
      <c r="N10" s="2">
        <v>0.7238</v>
      </c>
      <c r="O10" s="2">
        <v>0.70909999999999995</v>
      </c>
      <c r="P10" s="2">
        <v>0.61639999999999995</v>
      </c>
      <c r="Q10" s="2">
        <v>0.64580000000000004</v>
      </c>
      <c r="R10" s="2">
        <v>0.7016</v>
      </c>
      <c r="S10" s="2">
        <v>0.67310000000000003</v>
      </c>
      <c r="T10" s="2">
        <v>0.70620000000000005</v>
      </c>
      <c r="U10" s="2">
        <v>0.69169999999999998</v>
      </c>
      <c r="V10" s="2">
        <v>0.65800000000000003</v>
      </c>
      <c r="W10" s="2">
        <f t="shared" si="0"/>
        <v>0.69064000000000003</v>
      </c>
      <c r="X10" s="2">
        <f t="shared" si="4"/>
        <v>3.1187588624491742E-2</v>
      </c>
      <c r="Y10" s="2">
        <f t="shared" si="1"/>
        <v>4.5157518568996498</v>
      </c>
      <c r="Z10" s="2">
        <f t="shared" si="2"/>
        <v>0.61639999999999995</v>
      </c>
      <c r="AA10" s="2">
        <f t="shared" si="3"/>
        <v>0.74719999999999998</v>
      </c>
    </row>
    <row r="11" spans="1:27" x14ac:dyDescent="0.25">
      <c r="A11" t="s">
        <v>33</v>
      </c>
      <c r="B11" t="s">
        <v>29</v>
      </c>
      <c r="C11" s="2">
        <v>0.90410000000000001</v>
      </c>
      <c r="D11" s="2">
        <v>0.91620000000000001</v>
      </c>
      <c r="E11" s="2">
        <v>0.91890000000000005</v>
      </c>
      <c r="F11" s="2">
        <v>0.97389999999999999</v>
      </c>
      <c r="G11" s="2">
        <v>0.89439999999999997</v>
      </c>
      <c r="H11" s="2">
        <v>0.88660000000000005</v>
      </c>
      <c r="I11" s="2">
        <v>0.89739999999999998</v>
      </c>
      <c r="J11" s="2">
        <v>0.93489999999999995</v>
      </c>
      <c r="K11" s="2">
        <v>0.89500000000000002</v>
      </c>
      <c r="L11" s="2">
        <v>0.91490000000000005</v>
      </c>
      <c r="M11" s="2">
        <v>0.94079999999999997</v>
      </c>
      <c r="N11" s="2">
        <v>0.9244</v>
      </c>
      <c r="O11" s="2">
        <v>0.94630000000000003</v>
      </c>
      <c r="P11" s="2">
        <v>0.85640000000000005</v>
      </c>
      <c r="Q11" s="2">
        <v>0.88719999999999999</v>
      </c>
      <c r="R11" s="2">
        <v>0.97270000000000001</v>
      </c>
      <c r="S11" s="2">
        <v>0.87150000000000005</v>
      </c>
      <c r="T11" s="2">
        <v>0.90429999999999999</v>
      </c>
      <c r="U11" s="2">
        <v>0.85609999999999997</v>
      </c>
      <c r="V11" s="2">
        <v>0.97119999999999995</v>
      </c>
      <c r="W11" s="2">
        <f t="shared" si="0"/>
        <v>0.91335999999999995</v>
      </c>
      <c r="X11" s="2">
        <f t="shared" si="4"/>
        <v>3.5386399409347853E-2</v>
      </c>
      <c r="Y11" s="2">
        <f t="shared" si="1"/>
        <v>3.8743101744490511</v>
      </c>
      <c r="Z11" s="2">
        <f t="shared" si="2"/>
        <v>0.85609999999999997</v>
      </c>
      <c r="AA11" s="2">
        <f t="shared" si="3"/>
        <v>0.97389999999999999</v>
      </c>
    </row>
    <row r="12" spans="1:27" x14ac:dyDescent="0.25">
      <c r="A12" t="s">
        <v>33</v>
      </c>
      <c r="B12" t="s">
        <v>30</v>
      </c>
      <c r="C12" s="2">
        <v>6.0616000000000003</v>
      </c>
      <c r="D12" s="2">
        <v>5.7499000000000002</v>
      </c>
      <c r="E12" s="2">
        <v>5.7365000000000004</v>
      </c>
      <c r="F12" s="2">
        <v>5.7655000000000003</v>
      </c>
      <c r="G12" s="2">
        <v>5.4139999999999997</v>
      </c>
      <c r="H12" s="2">
        <v>6.1315</v>
      </c>
      <c r="I12" s="2">
        <v>5.149</v>
      </c>
      <c r="J12" s="2">
        <v>5.6536</v>
      </c>
      <c r="K12" s="2">
        <v>5.7785000000000002</v>
      </c>
      <c r="L12" s="2">
        <v>6.1516999999999999</v>
      </c>
      <c r="M12" s="2">
        <v>6.0833000000000004</v>
      </c>
      <c r="N12" s="2">
        <v>5.4398</v>
      </c>
      <c r="O12" s="2">
        <v>5.9802</v>
      </c>
      <c r="P12" s="2">
        <v>6.0349000000000004</v>
      </c>
      <c r="Q12" s="2">
        <v>6.0529999999999999</v>
      </c>
      <c r="R12" s="2">
        <v>5.5166000000000004</v>
      </c>
      <c r="S12" s="2">
        <v>5.9813000000000001</v>
      </c>
      <c r="T12" s="2">
        <v>6.2405999999999997</v>
      </c>
      <c r="U12" s="2">
        <v>5.8494999999999999</v>
      </c>
      <c r="V12" s="2">
        <v>5.7519</v>
      </c>
      <c r="W12" s="2">
        <f t="shared" si="0"/>
        <v>5.8261450000000004</v>
      </c>
      <c r="X12" s="2">
        <f t="shared" si="4"/>
        <v>0.2869543012856155</v>
      </c>
      <c r="Y12" s="2">
        <f t="shared" si="1"/>
        <v>4.9252859529863313</v>
      </c>
      <c r="Z12" s="2">
        <f t="shared" si="2"/>
        <v>5.149</v>
      </c>
      <c r="AA12" s="2">
        <f t="shared" si="3"/>
        <v>6.2405999999999997</v>
      </c>
    </row>
    <row r="13" spans="1:27" x14ac:dyDescent="0.25">
      <c r="A13" t="s">
        <v>33</v>
      </c>
      <c r="B13" t="s">
        <v>31</v>
      </c>
      <c r="C13" s="2">
        <v>0.8851</v>
      </c>
      <c r="D13" s="2">
        <v>0.88700000000000001</v>
      </c>
      <c r="E13" s="2">
        <v>0.87549999999999994</v>
      </c>
      <c r="F13" s="2">
        <v>0.87790000000000001</v>
      </c>
      <c r="G13" s="2">
        <v>0.88149999999999995</v>
      </c>
      <c r="H13" s="2">
        <v>0.88680000000000003</v>
      </c>
      <c r="I13" s="2">
        <v>0.87729999999999997</v>
      </c>
      <c r="J13" s="2">
        <v>0.87929999999999997</v>
      </c>
      <c r="K13" s="2">
        <v>0.88880000000000003</v>
      </c>
      <c r="L13" s="2">
        <v>0.88919999999999999</v>
      </c>
      <c r="M13" s="2">
        <v>0.88170000000000004</v>
      </c>
      <c r="N13" s="2">
        <v>0.89190000000000003</v>
      </c>
      <c r="O13" s="2">
        <v>0.88180000000000003</v>
      </c>
      <c r="P13" s="2">
        <v>0.88290000000000002</v>
      </c>
      <c r="Q13" s="2">
        <v>0.88300000000000001</v>
      </c>
      <c r="R13" s="2">
        <v>0.88900000000000001</v>
      </c>
      <c r="S13" s="2">
        <v>0.88800000000000001</v>
      </c>
      <c r="T13" s="2">
        <v>0.87649999999999995</v>
      </c>
      <c r="U13" s="2">
        <v>0.88770000000000004</v>
      </c>
      <c r="V13" s="2">
        <v>0.88990000000000002</v>
      </c>
      <c r="W13" s="2">
        <f t="shared" si="0"/>
        <v>0.88404000000000005</v>
      </c>
      <c r="X13" s="2">
        <f t="shared" si="4"/>
        <v>4.9804248392027331E-3</v>
      </c>
      <c r="Y13" s="2">
        <f t="shared" si="1"/>
        <v>0.56337098312324474</v>
      </c>
      <c r="Z13" s="2">
        <f t="shared" si="2"/>
        <v>0.87549999999999994</v>
      </c>
      <c r="AA13" s="2">
        <f t="shared" si="3"/>
        <v>0.89190000000000003</v>
      </c>
    </row>
    <row r="14" spans="1:27" x14ac:dyDescent="0.25">
      <c r="A14" t="s">
        <v>34</v>
      </c>
      <c r="B14" t="s">
        <v>28</v>
      </c>
      <c r="C14" s="2">
        <v>0.6593</v>
      </c>
      <c r="D14" s="2">
        <v>0.65620000000000001</v>
      </c>
      <c r="E14" s="2">
        <v>0.62319999999999998</v>
      </c>
      <c r="F14" s="2">
        <v>0.65090000000000003</v>
      </c>
      <c r="G14" s="2">
        <v>0.61150000000000004</v>
      </c>
      <c r="H14" s="2">
        <v>0.69079999999999997</v>
      </c>
      <c r="I14" s="2">
        <v>0.65359999999999996</v>
      </c>
      <c r="J14" s="2">
        <v>0.68259999999999998</v>
      </c>
      <c r="K14" s="2">
        <v>0.6835</v>
      </c>
      <c r="L14" s="2">
        <v>0.67989999999999995</v>
      </c>
      <c r="M14" s="2">
        <v>0.60099999999999998</v>
      </c>
      <c r="N14" s="2">
        <v>0.63319999999999999</v>
      </c>
      <c r="O14" s="2">
        <v>0.63490000000000002</v>
      </c>
      <c r="P14" s="2">
        <v>0.65649999999999997</v>
      </c>
      <c r="Q14" s="2">
        <v>0.66349999999999998</v>
      </c>
      <c r="R14" s="2">
        <v>0.69010000000000005</v>
      </c>
      <c r="S14" s="2">
        <v>0.64100000000000001</v>
      </c>
      <c r="T14" s="2">
        <v>0.66100000000000003</v>
      </c>
      <c r="U14" s="2">
        <v>0.63339999999999996</v>
      </c>
      <c r="V14" s="2">
        <v>0.65659999999999996</v>
      </c>
      <c r="W14" s="2">
        <f t="shared" si="0"/>
        <v>0.65313499999999991</v>
      </c>
      <c r="X14" s="2">
        <f t="shared" si="4"/>
        <v>2.52890297622465E-2</v>
      </c>
      <c r="Y14" s="2">
        <f t="shared" si="1"/>
        <v>3.8719452735263769</v>
      </c>
      <c r="Z14" s="2">
        <f t="shared" si="2"/>
        <v>0.60099999999999998</v>
      </c>
      <c r="AA14" s="2">
        <f t="shared" si="3"/>
        <v>0.69079999999999997</v>
      </c>
    </row>
    <row r="15" spans="1:27" x14ac:dyDescent="0.25">
      <c r="A15" t="s">
        <v>34</v>
      </c>
      <c r="B15" t="s">
        <v>29</v>
      </c>
      <c r="C15" s="2">
        <v>0.86880000000000002</v>
      </c>
      <c r="D15" s="2">
        <v>0.86539999999999995</v>
      </c>
      <c r="E15" s="2">
        <v>0.89959999999999996</v>
      </c>
      <c r="F15" s="2">
        <v>0.86339999999999995</v>
      </c>
      <c r="G15" s="2">
        <v>0.88360000000000005</v>
      </c>
      <c r="H15" s="2">
        <v>0.79400000000000004</v>
      </c>
      <c r="I15" s="2">
        <v>0.86170000000000002</v>
      </c>
      <c r="J15" s="2">
        <v>0.87160000000000004</v>
      </c>
      <c r="K15" s="2">
        <v>0.879</v>
      </c>
      <c r="L15" s="2">
        <v>0.8508</v>
      </c>
      <c r="M15" s="2">
        <v>0.8276</v>
      </c>
      <c r="N15" s="2">
        <v>0.8306</v>
      </c>
      <c r="O15" s="2">
        <v>0.91539999999999999</v>
      </c>
      <c r="P15" s="2">
        <v>0.90910000000000002</v>
      </c>
      <c r="Q15" s="2">
        <v>0.86009999999999998</v>
      </c>
      <c r="R15" s="2">
        <v>0.8548</v>
      </c>
      <c r="S15" s="2">
        <v>0.81130000000000002</v>
      </c>
      <c r="T15" s="2">
        <v>0.93540000000000001</v>
      </c>
      <c r="U15" s="2">
        <v>0.79769999999999996</v>
      </c>
      <c r="V15" s="2">
        <v>0.94769999999999999</v>
      </c>
      <c r="W15" s="2">
        <f t="shared" si="0"/>
        <v>0.86638000000000004</v>
      </c>
      <c r="X15" s="2">
        <f t="shared" si="4"/>
        <v>4.1939086153234446E-2</v>
      </c>
      <c r="Y15" s="2">
        <f t="shared" si="1"/>
        <v>4.8407264887502537</v>
      </c>
      <c r="Z15" s="2">
        <f t="shared" si="2"/>
        <v>0.79400000000000004</v>
      </c>
      <c r="AA15" s="2">
        <f t="shared" si="3"/>
        <v>0.94769999999999999</v>
      </c>
    </row>
    <row r="16" spans="1:27" x14ac:dyDescent="0.25">
      <c r="A16" t="s">
        <v>34</v>
      </c>
      <c r="B16" t="s">
        <v>30</v>
      </c>
      <c r="C16" s="2">
        <v>5.4541000000000004</v>
      </c>
      <c r="D16" s="2">
        <v>5.7450999999999999</v>
      </c>
      <c r="E16" s="2">
        <v>5.1245000000000003</v>
      </c>
      <c r="F16" s="2">
        <v>5.5129999999999999</v>
      </c>
      <c r="G16" s="2">
        <v>5.6904000000000003</v>
      </c>
      <c r="H16" s="2">
        <v>5.5340999999999996</v>
      </c>
      <c r="I16" s="2">
        <v>5.5392000000000001</v>
      </c>
      <c r="J16" s="2">
        <v>5.6306000000000003</v>
      </c>
      <c r="K16" s="2">
        <v>5.625</v>
      </c>
      <c r="L16" s="2">
        <v>5.6417999999999999</v>
      </c>
      <c r="M16" s="2">
        <v>5.5194999999999999</v>
      </c>
      <c r="N16" s="2">
        <v>5.5297000000000001</v>
      </c>
      <c r="O16" s="2">
        <v>5.6688000000000001</v>
      </c>
      <c r="P16" s="2">
        <v>5.3875999999999999</v>
      </c>
      <c r="Q16" s="2">
        <v>5.1649000000000003</v>
      </c>
      <c r="R16" s="2">
        <v>5.6012000000000004</v>
      </c>
      <c r="S16" s="2">
        <v>5.4569000000000001</v>
      </c>
      <c r="T16" s="2">
        <v>5.6117999999999997</v>
      </c>
      <c r="U16" s="2">
        <v>5.4027000000000003</v>
      </c>
      <c r="V16" s="2">
        <v>5.4089999999999998</v>
      </c>
      <c r="W16" s="2">
        <f t="shared" si="0"/>
        <v>5.5124950000000013</v>
      </c>
      <c r="X16" s="2">
        <f t="shared" si="4"/>
        <v>0.16042639064626946</v>
      </c>
      <c r="Y16" s="2">
        <f t="shared" si="1"/>
        <v>2.9102319484420289</v>
      </c>
      <c r="Z16" s="2">
        <f t="shared" si="2"/>
        <v>5.1245000000000003</v>
      </c>
      <c r="AA16" s="2">
        <f t="shared" si="3"/>
        <v>5.7450999999999999</v>
      </c>
    </row>
    <row r="17" spans="1:27" x14ac:dyDescent="0.25">
      <c r="A17" t="s">
        <v>34</v>
      </c>
      <c r="B17" t="s">
        <v>31</v>
      </c>
      <c r="C17" s="2">
        <v>0.89070000000000005</v>
      </c>
      <c r="D17" s="2">
        <v>0.88549999999999995</v>
      </c>
      <c r="E17" s="2">
        <v>0.89019999999999999</v>
      </c>
      <c r="F17" s="2">
        <v>0.89470000000000005</v>
      </c>
      <c r="G17" s="2">
        <v>0.8931</v>
      </c>
      <c r="H17" s="2">
        <v>0.89190000000000003</v>
      </c>
      <c r="I17" s="2">
        <v>0.89270000000000005</v>
      </c>
      <c r="J17" s="2">
        <v>0.89270000000000005</v>
      </c>
      <c r="K17" s="2">
        <v>0.89810000000000001</v>
      </c>
      <c r="L17" s="2">
        <v>0.88590000000000002</v>
      </c>
      <c r="M17" s="2">
        <v>0.89190000000000003</v>
      </c>
      <c r="N17" s="2">
        <v>0.89280000000000004</v>
      </c>
      <c r="O17" s="2">
        <v>0.90480000000000005</v>
      </c>
      <c r="P17" s="2">
        <v>0.89690000000000003</v>
      </c>
      <c r="Q17" s="2">
        <v>0.88690000000000002</v>
      </c>
      <c r="R17" s="2">
        <v>0.88239999999999996</v>
      </c>
      <c r="S17" s="2">
        <v>0.89290000000000003</v>
      </c>
      <c r="T17" s="2">
        <v>0.88629999999999998</v>
      </c>
      <c r="U17" s="2">
        <v>0.88470000000000004</v>
      </c>
      <c r="V17" s="2">
        <v>0.88770000000000004</v>
      </c>
      <c r="W17" s="2">
        <f t="shared" si="0"/>
        <v>0.89113999999999971</v>
      </c>
      <c r="X17" s="2">
        <f t="shared" si="4"/>
        <v>5.2718118327573253E-3</v>
      </c>
      <c r="Y17" s="2">
        <f t="shared" si="1"/>
        <v>0.59158065318101838</v>
      </c>
      <c r="Z17" s="2">
        <f t="shared" si="2"/>
        <v>0.88239999999999996</v>
      </c>
      <c r="AA17" s="2">
        <f t="shared" si="3"/>
        <v>0.90480000000000005</v>
      </c>
    </row>
    <row r="18" spans="1:27" x14ac:dyDescent="0.25">
      <c r="A18" t="s">
        <v>35</v>
      </c>
      <c r="B18" t="s">
        <v>28</v>
      </c>
      <c r="C18" s="2">
        <v>0.64959999999999996</v>
      </c>
      <c r="D18" s="2">
        <v>0.72770000000000001</v>
      </c>
      <c r="E18" s="2">
        <v>0.63419999999999999</v>
      </c>
      <c r="F18" s="2">
        <v>0.65049999999999997</v>
      </c>
      <c r="G18" s="2">
        <v>0.69140000000000001</v>
      </c>
      <c r="H18" s="2">
        <v>0.69010000000000005</v>
      </c>
      <c r="I18" s="2">
        <v>0.67330000000000001</v>
      </c>
      <c r="J18" s="2">
        <v>0.67749999999999999</v>
      </c>
      <c r="K18" s="2">
        <v>0.69820000000000004</v>
      </c>
      <c r="L18" s="2">
        <v>0.69869999999999999</v>
      </c>
      <c r="M18" s="2">
        <v>0.64890000000000003</v>
      </c>
      <c r="N18" s="2">
        <v>0.7218</v>
      </c>
      <c r="O18" s="2">
        <v>0.67310000000000003</v>
      </c>
      <c r="P18" s="2">
        <v>0.70230000000000004</v>
      </c>
      <c r="Q18" s="2">
        <v>0.65800000000000003</v>
      </c>
      <c r="R18" s="2">
        <v>0.6996</v>
      </c>
      <c r="S18" s="2">
        <v>0.66469999999999996</v>
      </c>
      <c r="T18" s="2">
        <v>0.69569999999999999</v>
      </c>
      <c r="U18" s="2">
        <v>0.68330000000000002</v>
      </c>
      <c r="V18" s="2">
        <v>0.66210000000000002</v>
      </c>
      <c r="W18" s="2">
        <f t="shared" si="0"/>
        <v>0.68003499999999995</v>
      </c>
      <c r="X18" s="2">
        <f t="shared" si="4"/>
        <v>2.5205205707092386E-2</v>
      </c>
      <c r="Y18" s="2">
        <f t="shared" si="1"/>
        <v>3.7064571245733506</v>
      </c>
      <c r="Z18" s="2">
        <f t="shared" si="2"/>
        <v>0.63419999999999999</v>
      </c>
      <c r="AA18" s="2">
        <f t="shared" si="3"/>
        <v>0.72770000000000001</v>
      </c>
    </row>
    <row r="19" spans="1:27" x14ac:dyDescent="0.25">
      <c r="A19" t="s">
        <v>35</v>
      </c>
      <c r="B19" t="s">
        <v>29</v>
      </c>
      <c r="C19" s="2">
        <v>0.84989999999999999</v>
      </c>
      <c r="D19" s="2">
        <v>0.80869999999999997</v>
      </c>
      <c r="E19" s="2">
        <v>0.85599999999999998</v>
      </c>
      <c r="F19" s="2">
        <v>0.88229999999999997</v>
      </c>
      <c r="G19" s="2">
        <v>0.90810000000000002</v>
      </c>
      <c r="H19" s="2">
        <v>0.94259999999999999</v>
      </c>
      <c r="I19" s="2">
        <v>0.9032</v>
      </c>
      <c r="J19" s="2">
        <v>0.96709999999999996</v>
      </c>
      <c r="K19" s="2">
        <v>0.81799999999999995</v>
      </c>
      <c r="L19" s="2">
        <v>0.86080000000000001</v>
      </c>
      <c r="M19" s="2">
        <v>0.92759999999999998</v>
      </c>
      <c r="N19" s="2">
        <v>0.87960000000000005</v>
      </c>
      <c r="O19" s="2">
        <v>0.99399999999999999</v>
      </c>
      <c r="P19" s="2">
        <v>0.92210000000000003</v>
      </c>
      <c r="Q19" s="2">
        <v>0.86339999999999995</v>
      </c>
      <c r="R19" s="2">
        <v>0.97460000000000002</v>
      </c>
      <c r="S19" s="2">
        <v>0.96109999999999995</v>
      </c>
      <c r="T19" s="2">
        <v>0.94330000000000003</v>
      </c>
      <c r="U19" s="2">
        <v>0.87680000000000002</v>
      </c>
      <c r="V19" s="2">
        <v>0.89849999999999997</v>
      </c>
      <c r="W19" s="2">
        <f t="shared" si="0"/>
        <v>0.90188499999999983</v>
      </c>
      <c r="X19" s="2">
        <f t="shared" si="4"/>
        <v>5.1927695429621945E-2</v>
      </c>
      <c r="Y19" s="2">
        <f t="shared" si="1"/>
        <v>5.7576847857123648</v>
      </c>
      <c r="Z19" s="2">
        <f t="shared" si="2"/>
        <v>0.80869999999999997</v>
      </c>
      <c r="AA19" s="2">
        <f t="shared" si="3"/>
        <v>0.99399999999999999</v>
      </c>
    </row>
    <row r="20" spans="1:27" x14ac:dyDescent="0.25">
      <c r="A20" t="s">
        <v>35</v>
      </c>
      <c r="B20" t="s">
        <v>30</v>
      </c>
      <c r="C20" s="2">
        <v>5.4858000000000002</v>
      </c>
      <c r="D20" s="2">
        <v>5.9173</v>
      </c>
      <c r="E20" s="2">
        <v>5.4131</v>
      </c>
      <c r="F20" s="2">
        <v>5.4459999999999997</v>
      </c>
      <c r="G20" s="2">
        <v>5.8634000000000004</v>
      </c>
      <c r="H20" s="2">
        <v>5.8708999999999998</v>
      </c>
      <c r="I20" s="2">
        <v>5.6380999999999997</v>
      </c>
      <c r="J20" s="2">
        <v>5.8346</v>
      </c>
      <c r="K20" s="2">
        <v>5.4619</v>
      </c>
      <c r="L20" s="2">
        <v>5.6913999999999998</v>
      </c>
      <c r="M20" s="2">
        <v>5.5708000000000002</v>
      </c>
      <c r="N20" s="2">
        <v>5.7849000000000004</v>
      </c>
      <c r="O20" s="2">
        <v>5.5713999999999997</v>
      </c>
      <c r="P20" s="2">
        <v>5.9518000000000004</v>
      </c>
      <c r="Q20" s="2">
        <v>5.7656999999999998</v>
      </c>
      <c r="R20" s="2">
        <v>6.1337000000000002</v>
      </c>
      <c r="S20" s="2">
        <v>6.0136000000000003</v>
      </c>
      <c r="T20" s="2">
        <v>5.6997999999999998</v>
      </c>
      <c r="U20" s="2">
        <v>5.9307999999999996</v>
      </c>
      <c r="V20" s="2">
        <v>5.9036999999999997</v>
      </c>
      <c r="W20" s="2">
        <f t="shared" si="0"/>
        <v>5.7474350000000003</v>
      </c>
      <c r="X20" s="2">
        <f t="shared" si="4"/>
        <v>0.20760653897773984</v>
      </c>
      <c r="Y20" s="2">
        <f t="shared" si="1"/>
        <v>3.6121598413507905</v>
      </c>
      <c r="Z20" s="2">
        <f t="shared" si="2"/>
        <v>5.4131</v>
      </c>
      <c r="AA20" s="2">
        <f t="shared" si="3"/>
        <v>6.1337000000000002</v>
      </c>
    </row>
    <row r="21" spans="1:27" x14ac:dyDescent="0.25">
      <c r="A21" t="s">
        <v>35</v>
      </c>
      <c r="B21" t="s">
        <v>31</v>
      </c>
      <c r="C21" s="2">
        <v>0.88580000000000003</v>
      </c>
      <c r="D21" s="2">
        <v>0.89759999999999995</v>
      </c>
      <c r="E21" s="2">
        <v>0.88749999999999996</v>
      </c>
      <c r="F21" s="2">
        <v>0.88690000000000002</v>
      </c>
      <c r="G21" s="2">
        <v>0.90380000000000005</v>
      </c>
      <c r="H21" s="2">
        <v>0.8821</v>
      </c>
      <c r="I21" s="2">
        <v>0.88949999999999996</v>
      </c>
      <c r="J21" s="2">
        <v>0.88560000000000005</v>
      </c>
      <c r="K21" s="2">
        <v>0.88270000000000004</v>
      </c>
      <c r="L21" s="2">
        <v>0.88370000000000004</v>
      </c>
      <c r="M21" s="2">
        <v>0.89100000000000001</v>
      </c>
      <c r="N21" s="2">
        <v>0.8861</v>
      </c>
      <c r="O21" s="2">
        <v>0.88759999999999994</v>
      </c>
      <c r="P21" s="2">
        <v>0.8841</v>
      </c>
      <c r="Q21" s="2">
        <v>0.87560000000000004</v>
      </c>
      <c r="R21" s="2">
        <v>0.88949999999999996</v>
      </c>
      <c r="S21" s="2">
        <v>0.88019999999999998</v>
      </c>
      <c r="T21" s="2">
        <v>0.88160000000000005</v>
      </c>
      <c r="U21" s="2">
        <v>0.879</v>
      </c>
      <c r="V21" s="2">
        <v>0.87890000000000001</v>
      </c>
      <c r="W21" s="2">
        <f t="shared" si="0"/>
        <v>0.88594000000000028</v>
      </c>
      <c r="X21" s="2">
        <f t="shared" si="4"/>
        <v>6.4978862960034444E-3</v>
      </c>
      <c r="Y21" s="2">
        <f t="shared" si="1"/>
        <v>0.73344541345953929</v>
      </c>
      <c r="Z21" s="2">
        <f t="shared" si="2"/>
        <v>0.87560000000000004</v>
      </c>
      <c r="AA21" s="2">
        <f t="shared" si="3"/>
        <v>0.90380000000000005</v>
      </c>
    </row>
    <row r="22" spans="1:27" x14ac:dyDescent="0.25">
      <c r="A22" t="s">
        <v>36</v>
      </c>
      <c r="B22" t="s">
        <v>28</v>
      </c>
      <c r="C22" s="2">
        <v>0.73219999999999996</v>
      </c>
      <c r="D22" s="2">
        <v>0.68630000000000002</v>
      </c>
      <c r="E22" s="2">
        <v>0.73080000000000001</v>
      </c>
      <c r="F22" s="2">
        <v>0.73260000000000003</v>
      </c>
      <c r="G22" s="2">
        <v>0.68779999999999997</v>
      </c>
      <c r="H22" s="2">
        <v>0.75160000000000005</v>
      </c>
      <c r="I22" s="2">
        <v>0.71970000000000001</v>
      </c>
      <c r="J22" s="2">
        <v>0.70960000000000001</v>
      </c>
      <c r="K22" s="2">
        <v>0.71279999999999999</v>
      </c>
      <c r="L22" s="2">
        <v>0.72209999999999996</v>
      </c>
      <c r="M22" s="2">
        <v>0.73670000000000002</v>
      </c>
      <c r="N22" s="2">
        <v>0.72209999999999996</v>
      </c>
      <c r="O22" s="2">
        <v>0.74439999999999995</v>
      </c>
      <c r="P22" s="2">
        <v>0.78559999999999997</v>
      </c>
      <c r="Q22" s="2">
        <v>0.76680000000000004</v>
      </c>
      <c r="R22" s="2">
        <v>0.6845</v>
      </c>
      <c r="S22" s="2">
        <v>0.69420000000000004</v>
      </c>
      <c r="T22" s="2">
        <v>0.74980000000000002</v>
      </c>
      <c r="U22" s="2">
        <v>0.74360000000000004</v>
      </c>
      <c r="V22" s="2">
        <v>0.73819999999999997</v>
      </c>
      <c r="W22" s="2">
        <f t="shared" si="0"/>
        <v>0.72757000000000005</v>
      </c>
      <c r="X22" s="2">
        <f t="shared" si="4"/>
        <v>2.6840780049845993E-2</v>
      </c>
      <c r="Y22" s="2">
        <f t="shared" si="1"/>
        <v>3.6890993374996213</v>
      </c>
      <c r="Z22" s="2">
        <f t="shared" si="2"/>
        <v>0.6845</v>
      </c>
      <c r="AA22" s="2">
        <f t="shared" si="3"/>
        <v>0.78559999999999997</v>
      </c>
    </row>
    <row r="23" spans="1:27" x14ac:dyDescent="0.25">
      <c r="A23" t="s">
        <v>36</v>
      </c>
      <c r="B23" t="s">
        <v>29</v>
      </c>
      <c r="C23" s="2">
        <v>0.98970000000000002</v>
      </c>
      <c r="D23" s="2">
        <v>0.99470000000000003</v>
      </c>
      <c r="E23" s="2">
        <v>1.0241</v>
      </c>
      <c r="F23" s="2">
        <v>0.96120000000000005</v>
      </c>
      <c r="G23" s="2">
        <v>0.9304</v>
      </c>
      <c r="H23" s="2">
        <v>0.93489999999999995</v>
      </c>
      <c r="I23" s="2">
        <v>0.94489999999999996</v>
      </c>
      <c r="J23" s="2">
        <v>0.94120000000000004</v>
      </c>
      <c r="K23" s="2">
        <v>0.85819999999999996</v>
      </c>
      <c r="L23" s="2">
        <v>0.98580000000000001</v>
      </c>
      <c r="M23" s="2">
        <v>1.004</v>
      </c>
      <c r="N23" s="2">
        <v>0.98170000000000002</v>
      </c>
      <c r="O23" s="2">
        <v>0.89600000000000002</v>
      </c>
      <c r="P23" s="2">
        <v>0.98050000000000004</v>
      </c>
      <c r="Q23" s="2">
        <v>1.0156000000000001</v>
      </c>
      <c r="R23" s="2">
        <v>0.92659999999999998</v>
      </c>
      <c r="S23" s="2">
        <v>0.96399999999999997</v>
      </c>
      <c r="T23" s="2">
        <v>1.0092000000000001</v>
      </c>
      <c r="U23" s="2">
        <v>0.95489999999999997</v>
      </c>
      <c r="V23" s="2">
        <v>1.0262</v>
      </c>
      <c r="W23" s="2">
        <f t="shared" si="0"/>
        <v>0.96618999999999977</v>
      </c>
      <c r="X23" s="2">
        <f t="shared" si="4"/>
        <v>4.3842876154213312E-2</v>
      </c>
      <c r="Y23" s="2">
        <f t="shared" si="1"/>
        <v>4.5377075062061625</v>
      </c>
      <c r="Z23" s="2">
        <f t="shared" si="2"/>
        <v>0.85819999999999996</v>
      </c>
      <c r="AA23" s="2">
        <f t="shared" si="3"/>
        <v>1.0262</v>
      </c>
    </row>
    <row r="24" spans="1:27" x14ac:dyDescent="0.25">
      <c r="A24" t="s">
        <v>36</v>
      </c>
      <c r="B24" t="s">
        <v>30</v>
      </c>
      <c r="C24" s="2">
        <v>5.9820000000000002</v>
      </c>
      <c r="D24" s="2">
        <v>6.3888999999999996</v>
      </c>
      <c r="E24" s="2">
        <v>5.8216999999999999</v>
      </c>
      <c r="F24" s="2">
        <v>6.2451999999999996</v>
      </c>
      <c r="G24" s="2">
        <v>6.0777999999999999</v>
      </c>
      <c r="H24" s="2">
        <v>6.3261000000000003</v>
      </c>
      <c r="I24" s="2">
        <v>6.5000999999999998</v>
      </c>
      <c r="J24" s="2">
        <v>6.3300999999999998</v>
      </c>
      <c r="K24" s="2">
        <v>5.9825999999999997</v>
      </c>
      <c r="L24" s="2">
        <v>6.7526000000000002</v>
      </c>
      <c r="M24" s="2">
        <v>6.0711000000000004</v>
      </c>
      <c r="N24" s="2">
        <v>6.0076999999999998</v>
      </c>
      <c r="O24" s="2">
        <v>5.6166</v>
      </c>
      <c r="P24" s="2">
        <v>6.3089000000000004</v>
      </c>
      <c r="Q24" s="2">
        <v>6.5045999999999999</v>
      </c>
      <c r="R24" s="2">
        <v>6.0083000000000002</v>
      </c>
      <c r="S24" s="2">
        <v>6.2778999999999998</v>
      </c>
      <c r="T24" s="2">
        <v>6.0712999999999999</v>
      </c>
      <c r="U24" s="2">
        <v>5.4455</v>
      </c>
      <c r="V24" s="2">
        <v>6.1380999999999997</v>
      </c>
      <c r="W24" s="2">
        <f t="shared" si="0"/>
        <v>6.1428549999999991</v>
      </c>
      <c r="X24" s="2">
        <f t="shared" si="4"/>
        <v>0.3064716857789811</v>
      </c>
      <c r="Y24" s="2">
        <f t="shared" si="1"/>
        <v>4.9890756949167958</v>
      </c>
      <c r="Z24" s="2">
        <f t="shared" si="2"/>
        <v>5.4455</v>
      </c>
      <c r="AA24" s="2">
        <f t="shared" si="3"/>
        <v>6.7526000000000002</v>
      </c>
    </row>
    <row r="25" spans="1:27" x14ac:dyDescent="0.25">
      <c r="A25" t="s">
        <v>36</v>
      </c>
      <c r="B25" t="s">
        <v>31</v>
      </c>
      <c r="C25" s="2">
        <v>0.87090000000000001</v>
      </c>
      <c r="D25" s="2">
        <v>0.8679</v>
      </c>
      <c r="E25" s="2">
        <v>0.87549999999999994</v>
      </c>
      <c r="F25" s="2">
        <v>0.86650000000000005</v>
      </c>
      <c r="G25" s="2">
        <v>0.86150000000000004</v>
      </c>
      <c r="H25" s="2">
        <v>0.86299999999999999</v>
      </c>
      <c r="I25" s="2">
        <v>0.87749999999999995</v>
      </c>
      <c r="J25" s="2">
        <v>0.88370000000000004</v>
      </c>
      <c r="K25" s="2">
        <v>0.87709999999999999</v>
      </c>
      <c r="L25" s="2">
        <v>0.87690000000000001</v>
      </c>
      <c r="M25" s="2">
        <v>0.88700000000000001</v>
      </c>
      <c r="N25" s="2">
        <v>0.87050000000000005</v>
      </c>
      <c r="O25" s="2">
        <v>0.87609999999999999</v>
      </c>
      <c r="P25" s="2">
        <v>0.88729999999999998</v>
      </c>
      <c r="Q25" s="2">
        <v>0.87839999999999996</v>
      </c>
      <c r="R25" s="2">
        <v>0.88049999999999995</v>
      </c>
      <c r="S25" s="2">
        <v>0.88680000000000003</v>
      </c>
      <c r="T25" s="2">
        <v>0.87229999999999996</v>
      </c>
      <c r="U25" s="2">
        <v>0.87649999999999995</v>
      </c>
      <c r="V25" s="2">
        <v>0.8831</v>
      </c>
      <c r="W25" s="2">
        <f t="shared" si="0"/>
        <v>0.8759499999999999</v>
      </c>
      <c r="X25" s="2">
        <f t="shared" si="4"/>
        <v>7.6462236981470234E-3</v>
      </c>
      <c r="Y25" s="2">
        <f t="shared" si="1"/>
        <v>0.87290640997169067</v>
      </c>
      <c r="Z25" s="2">
        <f t="shared" si="2"/>
        <v>0.86150000000000004</v>
      </c>
      <c r="AA25" s="2">
        <f t="shared" si="3"/>
        <v>0.88729999999999998</v>
      </c>
    </row>
    <row r="26" spans="1:27" x14ac:dyDescent="0.25">
      <c r="A26" t="s">
        <v>37</v>
      </c>
      <c r="B26" t="s">
        <v>28</v>
      </c>
      <c r="C26" s="2">
        <v>0.62580000000000002</v>
      </c>
      <c r="D26" s="2">
        <v>0.60860000000000003</v>
      </c>
      <c r="E26" s="2">
        <v>0.61890000000000001</v>
      </c>
      <c r="F26" s="2">
        <v>0.58399999999999996</v>
      </c>
      <c r="G26" s="2">
        <v>0.57820000000000005</v>
      </c>
      <c r="H26" s="2">
        <v>0.63009999999999999</v>
      </c>
      <c r="I26" s="2">
        <v>0.62029999999999996</v>
      </c>
      <c r="J26" s="2">
        <v>0.59950000000000003</v>
      </c>
      <c r="K26" s="2">
        <v>0.59570000000000001</v>
      </c>
      <c r="L26" s="2">
        <v>0.61719999999999997</v>
      </c>
      <c r="M26" s="2">
        <v>0.61870000000000003</v>
      </c>
      <c r="N26" s="2">
        <v>0.62370000000000003</v>
      </c>
      <c r="O26" s="2">
        <v>0.62590000000000001</v>
      </c>
      <c r="P26" s="2">
        <v>0.60240000000000005</v>
      </c>
      <c r="Q26" s="2">
        <v>0.61839999999999995</v>
      </c>
      <c r="R26" s="2">
        <v>0.61460000000000004</v>
      </c>
      <c r="S26" s="2">
        <v>0.63009999999999999</v>
      </c>
      <c r="T26" s="2">
        <v>0.60499999999999998</v>
      </c>
      <c r="U26" s="2">
        <v>0.63100000000000001</v>
      </c>
      <c r="V26" s="2">
        <v>0.58930000000000005</v>
      </c>
      <c r="W26" s="2">
        <f t="shared" si="0"/>
        <v>0.61187000000000002</v>
      </c>
      <c r="X26" s="2">
        <f t="shared" si="4"/>
        <v>1.5876102531129834E-2</v>
      </c>
      <c r="Y26" s="2">
        <f t="shared" si="1"/>
        <v>2.594685559208628</v>
      </c>
      <c r="Z26" s="2">
        <f t="shared" si="2"/>
        <v>0.57820000000000005</v>
      </c>
      <c r="AA26" s="2">
        <f t="shared" si="3"/>
        <v>0.63100000000000001</v>
      </c>
    </row>
    <row r="27" spans="1:27" x14ac:dyDescent="0.25">
      <c r="A27" t="s">
        <v>37</v>
      </c>
      <c r="B27" t="s">
        <v>29</v>
      </c>
      <c r="C27" s="2">
        <v>0.84379999999999999</v>
      </c>
      <c r="D27" s="2">
        <v>0.82420000000000004</v>
      </c>
      <c r="E27" s="2">
        <v>0.77669999999999995</v>
      </c>
      <c r="F27" s="2">
        <v>0.77359999999999995</v>
      </c>
      <c r="G27" s="2">
        <v>0.80520000000000003</v>
      </c>
      <c r="H27" s="2">
        <v>0.79300000000000004</v>
      </c>
      <c r="I27" s="2">
        <v>0.81279999999999997</v>
      </c>
      <c r="J27" s="2">
        <v>0.81330000000000002</v>
      </c>
      <c r="K27" s="2">
        <v>0.82769999999999999</v>
      </c>
      <c r="L27" s="2">
        <v>0.84819999999999995</v>
      </c>
      <c r="M27" s="2">
        <v>0.82040000000000002</v>
      </c>
      <c r="N27" s="2">
        <v>0.8034</v>
      </c>
      <c r="O27" s="2">
        <v>0.81499999999999995</v>
      </c>
      <c r="P27" s="2">
        <v>0.76070000000000004</v>
      </c>
      <c r="Q27" s="2">
        <v>0.81630000000000003</v>
      </c>
      <c r="R27" s="2">
        <v>0.82589999999999997</v>
      </c>
      <c r="S27" s="2">
        <v>0.79239999999999999</v>
      </c>
      <c r="T27" s="2">
        <v>0.79810000000000003</v>
      </c>
      <c r="U27" s="2">
        <v>0.83069999999999999</v>
      </c>
      <c r="V27" s="2">
        <v>0.79600000000000004</v>
      </c>
      <c r="W27" s="2">
        <f t="shared" si="0"/>
        <v>0.80887000000000009</v>
      </c>
      <c r="X27" s="2">
        <f t="shared" si="4"/>
        <v>2.2747194158956461E-2</v>
      </c>
      <c r="Y27" s="2">
        <f t="shared" si="1"/>
        <v>2.81221879399118</v>
      </c>
      <c r="Z27" s="2">
        <f t="shared" si="2"/>
        <v>0.76070000000000004</v>
      </c>
      <c r="AA27" s="2">
        <f t="shared" si="3"/>
        <v>0.84819999999999995</v>
      </c>
    </row>
    <row r="28" spans="1:27" x14ac:dyDescent="0.25">
      <c r="A28" t="s">
        <v>37</v>
      </c>
      <c r="B28" t="s">
        <v>30</v>
      </c>
      <c r="C28" s="2">
        <v>5.1684000000000001</v>
      </c>
      <c r="D28" s="2">
        <v>5.0984999999999996</v>
      </c>
      <c r="E28" s="2">
        <v>5.2930000000000001</v>
      </c>
      <c r="F28" s="2">
        <v>4.9081000000000001</v>
      </c>
      <c r="G28" s="2">
        <v>5.1585000000000001</v>
      </c>
      <c r="H28" s="2">
        <v>5.1745999999999999</v>
      </c>
      <c r="I28" s="2">
        <v>5.1718999999999999</v>
      </c>
      <c r="J28" s="2">
        <v>5.2606999999999999</v>
      </c>
      <c r="K28" s="2">
        <v>5.4352999999999998</v>
      </c>
      <c r="L28" s="2">
        <v>4.8605</v>
      </c>
      <c r="M28" s="2">
        <v>4.8912000000000004</v>
      </c>
      <c r="N28" s="2">
        <v>5.2946999999999997</v>
      </c>
      <c r="O28" s="2">
        <v>5.0228999999999999</v>
      </c>
      <c r="P28" s="2">
        <v>5.2069000000000001</v>
      </c>
      <c r="Q28" s="2">
        <v>5.2404999999999999</v>
      </c>
      <c r="R28" s="2">
        <v>5.2827000000000002</v>
      </c>
      <c r="S28" s="2">
        <v>5.4402999999999997</v>
      </c>
      <c r="T28" s="2">
        <v>4.9908999999999999</v>
      </c>
      <c r="U28" s="2">
        <v>5.1318999999999999</v>
      </c>
      <c r="V28" s="2">
        <v>5.3552</v>
      </c>
      <c r="W28" s="2">
        <f t="shared" si="0"/>
        <v>5.1693349999999993</v>
      </c>
      <c r="X28" s="2">
        <f t="shared" si="4"/>
        <v>0.16830815496082105</v>
      </c>
      <c r="Y28" s="2">
        <f t="shared" si="1"/>
        <v>3.2558956802145942</v>
      </c>
      <c r="Z28" s="2">
        <f t="shared" si="2"/>
        <v>4.8605</v>
      </c>
      <c r="AA28" s="2">
        <f t="shared" si="3"/>
        <v>5.4402999999999997</v>
      </c>
    </row>
    <row r="29" spans="1:27" x14ac:dyDescent="0.25">
      <c r="A29" t="s">
        <v>37</v>
      </c>
      <c r="B29" t="s">
        <v>31</v>
      </c>
      <c r="C29" s="2">
        <v>0.89470000000000005</v>
      </c>
      <c r="D29" s="2">
        <v>0.89649999999999996</v>
      </c>
      <c r="E29" s="2">
        <v>0.89990000000000003</v>
      </c>
      <c r="F29" s="2">
        <v>0.89910000000000001</v>
      </c>
      <c r="G29" s="2">
        <v>0.89480000000000004</v>
      </c>
      <c r="H29" s="2">
        <v>0.90339999999999998</v>
      </c>
      <c r="I29" s="2">
        <v>0.89549999999999996</v>
      </c>
      <c r="J29" s="2">
        <v>0.8911</v>
      </c>
      <c r="K29" s="2">
        <v>0.88859999999999995</v>
      </c>
      <c r="L29" s="2">
        <v>0.89770000000000005</v>
      </c>
      <c r="M29" s="2">
        <v>0.89390000000000003</v>
      </c>
      <c r="N29" s="2">
        <v>0.90290000000000004</v>
      </c>
      <c r="O29" s="2">
        <v>0.89810000000000001</v>
      </c>
      <c r="P29" s="2">
        <v>0.89539999999999997</v>
      </c>
      <c r="Q29" s="2">
        <v>0.90039999999999998</v>
      </c>
      <c r="R29" s="2">
        <v>0.89690000000000003</v>
      </c>
      <c r="S29" s="2">
        <v>0.89759999999999995</v>
      </c>
      <c r="T29" s="2">
        <v>0.89370000000000005</v>
      </c>
      <c r="U29" s="2">
        <v>0.90259999999999996</v>
      </c>
      <c r="V29" s="2">
        <v>0.89690000000000003</v>
      </c>
      <c r="W29" s="2">
        <f t="shared" si="0"/>
        <v>0.89698500000000014</v>
      </c>
      <c r="X29" s="2">
        <f t="shared" si="4"/>
        <v>3.8019766327253347E-3</v>
      </c>
      <c r="Y29" s="2">
        <f t="shared" si="1"/>
        <v>0.4238617850605455</v>
      </c>
      <c r="Z29" s="2">
        <f t="shared" si="2"/>
        <v>0.88859999999999995</v>
      </c>
      <c r="AA29" s="2">
        <f t="shared" si="3"/>
        <v>0.90339999999999998</v>
      </c>
    </row>
    <row r="30" spans="1:27" x14ac:dyDescent="0.25">
      <c r="A30" t="s">
        <v>38</v>
      </c>
      <c r="B30" t="s">
        <v>28</v>
      </c>
      <c r="C30" s="2">
        <v>0.79079999999999995</v>
      </c>
      <c r="D30" s="2">
        <v>0.84630000000000005</v>
      </c>
      <c r="E30" s="2">
        <v>0.84060000000000001</v>
      </c>
      <c r="F30" s="2">
        <v>0.87539999999999996</v>
      </c>
      <c r="G30" s="2">
        <v>0.78580000000000005</v>
      </c>
      <c r="H30" s="2">
        <v>0.90169999999999995</v>
      </c>
      <c r="I30" s="2">
        <v>0.86199999999999999</v>
      </c>
      <c r="J30" s="2">
        <v>0.85760000000000003</v>
      </c>
      <c r="K30" s="2">
        <v>0.84289999999999998</v>
      </c>
      <c r="L30" s="2">
        <v>0.80310000000000004</v>
      </c>
      <c r="M30" s="2">
        <v>0.69569999999999999</v>
      </c>
      <c r="N30" s="2">
        <v>0.77939999999999998</v>
      </c>
      <c r="O30" s="2">
        <v>0.82399999999999995</v>
      </c>
      <c r="P30" s="2">
        <v>0.85329999999999995</v>
      </c>
      <c r="Q30" s="2">
        <v>0.78759999999999997</v>
      </c>
      <c r="R30" s="2">
        <v>0.84599999999999997</v>
      </c>
      <c r="S30" s="2">
        <v>0.7369</v>
      </c>
      <c r="T30" s="2">
        <v>0.77100000000000002</v>
      </c>
      <c r="U30" s="2">
        <v>0.81110000000000004</v>
      </c>
      <c r="V30" s="2">
        <v>0.80659999999999998</v>
      </c>
      <c r="W30" s="2">
        <f t="shared" si="0"/>
        <v>0.81589000000000012</v>
      </c>
      <c r="X30" s="2">
        <f t="shared" si="4"/>
        <v>4.92294295807102E-2</v>
      </c>
      <c r="Y30" s="2">
        <f t="shared" si="1"/>
        <v>6.0338317151466727</v>
      </c>
      <c r="Z30" s="2">
        <f t="shared" si="2"/>
        <v>0.69569999999999999</v>
      </c>
      <c r="AA30" s="2">
        <f t="shared" si="3"/>
        <v>0.90169999999999995</v>
      </c>
    </row>
    <row r="31" spans="1:27" x14ac:dyDescent="0.25">
      <c r="A31" t="s">
        <v>38</v>
      </c>
      <c r="B31" t="s">
        <v>29</v>
      </c>
      <c r="C31" s="2">
        <v>1.0782</v>
      </c>
      <c r="D31" s="2">
        <v>1.1048</v>
      </c>
      <c r="E31" s="2">
        <v>1.0459000000000001</v>
      </c>
      <c r="F31" s="2">
        <v>1.1742999999999999</v>
      </c>
      <c r="G31" s="2">
        <v>0.96970000000000001</v>
      </c>
      <c r="H31" s="2">
        <v>1.0596000000000001</v>
      </c>
      <c r="I31" s="2">
        <v>1.0738000000000001</v>
      </c>
      <c r="J31" s="2">
        <v>1.0461</v>
      </c>
      <c r="K31" s="2">
        <v>1.1505000000000001</v>
      </c>
      <c r="L31" s="2">
        <v>1.0501</v>
      </c>
      <c r="M31" s="2">
        <v>1.0578000000000001</v>
      </c>
      <c r="N31" s="2">
        <v>1.1375999999999999</v>
      </c>
      <c r="O31" s="2">
        <v>1.0903</v>
      </c>
      <c r="P31" s="2">
        <v>1.1128</v>
      </c>
      <c r="Q31" s="2">
        <v>1.0085999999999999</v>
      </c>
      <c r="R31" s="2">
        <v>1.1037999999999999</v>
      </c>
      <c r="S31" s="2">
        <v>1.0697000000000001</v>
      </c>
      <c r="T31" s="2">
        <v>1.1394</v>
      </c>
      <c r="U31" s="2">
        <v>1.0768</v>
      </c>
      <c r="V31" s="2">
        <v>1.0670999999999999</v>
      </c>
      <c r="W31" s="2">
        <f t="shared" si="0"/>
        <v>1.0808449999999998</v>
      </c>
      <c r="X31" s="2">
        <f t="shared" si="4"/>
        <v>4.8537283282246553E-2</v>
      </c>
      <c r="Y31" s="2">
        <f t="shared" si="1"/>
        <v>4.4906793557121105</v>
      </c>
      <c r="Z31" s="2">
        <f t="shared" si="2"/>
        <v>0.96970000000000001</v>
      </c>
      <c r="AA31" s="2">
        <f t="shared" si="3"/>
        <v>1.1742999999999999</v>
      </c>
    </row>
    <row r="32" spans="1:27" x14ac:dyDescent="0.25">
      <c r="A32" t="s">
        <v>38</v>
      </c>
      <c r="B32" t="s">
        <v>30</v>
      </c>
      <c r="C32" s="2">
        <v>6.6266999999999996</v>
      </c>
      <c r="D32" s="2">
        <v>6.9626999999999999</v>
      </c>
      <c r="E32" s="2">
        <v>6.5873999999999997</v>
      </c>
      <c r="F32" s="2">
        <v>7.1269999999999998</v>
      </c>
      <c r="G32" s="2">
        <v>6.86</v>
      </c>
      <c r="H32" s="2">
        <v>7.0217000000000001</v>
      </c>
      <c r="I32" s="2">
        <v>6.8962000000000003</v>
      </c>
      <c r="J32" s="2">
        <v>6.5107999999999997</v>
      </c>
      <c r="K32" s="2">
        <v>7.0381999999999998</v>
      </c>
      <c r="L32" s="2">
        <v>7.2710999999999997</v>
      </c>
      <c r="M32" s="2">
        <v>7.4401999999999999</v>
      </c>
      <c r="N32" s="2">
        <v>7.0468999999999999</v>
      </c>
      <c r="O32" s="2">
        <v>6.6136999999999997</v>
      </c>
      <c r="P32" s="2">
        <v>7.3879000000000001</v>
      </c>
      <c r="Q32" s="2">
        <v>6.609</v>
      </c>
      <c r="R32" s="2">
        <v>6.6326000000000001</v>
      </c>
      <c r="S32" s="2">
        <v>6.6314000000000002</v>
      </c>
      <c r="T32" s="2">
        <v>6.7054999999999998</v>
      </c>
      <c r="U32" s="2">
        <v>7.0980999999999996</v>
      </c>
      <c r="V32" s="2">
        <v>6.8441000000000001</v>
      </c>
      <c r="W32" s="2">
        <f t="shared" si="0"/>
        <v>6.8955599999999988</v>
      </c>
      <c r="X32" s="2">
        <f t="shared" si="4"/>
        <v>0.28042563776479046</v>
      </c>
      <c r="Y32" s="2">
        <f t="shared" si="1"/>
        <v>4.0667565471809466</v>
      </c>
      <c r="Z32" s="2">
        <f t="shared" si="2"/>
        <v>6.5107999999999997</v>
      </c>
      <c r="AA32" s="2">
        <f t="shared" si="3"/>
        <v>7.4401999999999999</v>
      </c>
    </row>
    <row r="33" spans="1:27" x14ac:dyDescent="0.25">
      <c r="A33" t="s">
        <v>38</v>
      </c>
      <c r="B33" t="s">
        <v>31</v>
      </c>
      <c r="C33" s="2">
        <v>0.85550000000000004</v>
      </c>
      <c r="D33" s="2">
        <v>0.85270000000000001</v>
      </c>
      <c r="E33" s="2">
        <v>0.86329999999999996</v>
      </c>
      <c r="F33" s="2">
        <v>0.86360000000000003</v>
      </c>
      <c r="G33" s="2">
        <v>0.86890000000000001</v>
      </c>
      <c r="H33" s="2">
        <v>0.86119999999999997</v>
      </c>
      <c r="I33" s="2">
        <v>0.85540000000000005</v>
      </c>
      <c r="J33" s="2">
        <v>0.85360000000000003</v>
      </c>
      <c r="K33" s="2">
        <v>0.85309999999999997</v>
      </c>
      <c r="L33" s="2">
        <v>0.85529999999999995</v>
      </c>
      <c r="M33" s="2">
        <v>0.84550000000000003</v>
      </c>
      <c r="N33" s="2">
        <v>0.86260000000000003</v>
      </c>
      <c r="O33" s="2">
        <v>0.86809999999999998</v>
      </c>
      <c r="P33" s="2">
        <v>0.87480000000000002</v>
      </c>
      <c r="Q33" s="2">
        <v>0.86170000000000002</v>
      </c>
      <c r="R33" s="2">
        <v>0.85270000000000001</v>
      </c>
      <c r="S33" s="2">
        <v>0.85750000000000004</v>
      </c>
      <c r="T33" s="2">
        <v>0.86060000000000003</v>
      </c>
      <c r="U33" s="2">
        <v>0.84279999999999999</v>
      </c>
      <c r="V33" s="2">
        <v>0.85170000000000001</v>
      </c>
      <c r="W33" s="2">
        <f t="shared" si="0"/>
        <v>0.85803000000000007</v>
      </c>
      <c r="X33" s="2">
        <f t="shared" si="4"/>
        <v>7.8184060833529564E-3</v>
      </c>
      <c r="Y33" s="2">
        <f t="shared" si="1"/>
        <v>0.91120427996141817</v>
      </c>
      <c r="Z33" s="2">
        <f t="shared" si="2"/>
        <v>0.84279999999999999</v>
      </c>
      <c r="AA33" s="2">
        <f t="shared" si="3"/>
        <v>0.87480000000000002</v>
      </c>
    </row>
    <row r="34" spans="1:27" x14ac:dyDescent="0.25">
      <c r="A34" t="s">
        <v>39</v>
      </c>
      <c r="B34" t="s">
        <v>28</v>
      </c>
      <c r="C34" s="2">
        <v>0.78439999999999999</v>
      </c>
      <c r="D34" s="2">
        <v>0.7913</v>
      </c>
      <c r="E34" s="2">
        <v>0.8044</v>
      </c>
      <c r="F34" s="2">
        <v>0.72919999999999996</v>
      </c>
      <c r="G34" s="2">
        <v>0.75249999999999995</v>
      </c>
      <c r="H34" s="2">
        <v>0.78910000000000002</v>
      </c>
      <c r="I34" s="2">
        <v>0.77339999999999998</v>
      </c>
      <c r="J34" s="2">
        <v>0.81210000000000004</v>
      </c>
      <c r="K34" s="2">
        <v>0.7702</v>
      </c>
      <c r="L34" s="2">
        <v>0.75839999999999996</v>
      </c>
      <c r="M34" s="2">
        <v>0.7883</v>
      </c>
      <c r="N34" s="2">
        <v>0.76470000000000005</v>
      </c>
      <c r="O34" s="2">
        <v>0.79359999999999997</v>
      </c>
      <c r="P34" s="2">
        <v>0.78610000000000002</v>
      </c>
      <c r="Q34" s="2">
        <v>0.75549999999999995</v>
      </c>
      <c r="R34" s="2">
        <v>0.74839999999999995</v>
      </c>
      <c r="S34" s="2">
        <v>0.78549999999999998</v>
      </c>
      <c r="T34" s="2">
        <v>0.7379</v>
      </c>
      <c r="U34" s="2">
        <v>0.79510000000000003</v>
      </c>
      <c r="V34" s="2">
        <v>0.755</v>
      </c>
      <c r="W34" s="2">
        <f t="shared" si="0"/>
        <v>0.77375499999999997</v>
      </c>
      <c r="X34" s="2">
        <f t="shared" si="4"/>
        <v>2.2709040050165063E-2</v>
      </c>
      <c r="Y34" s="2">
        <f t="shared" si="1"/>
        <v>2.9349135126965336</v>
      </c>
      <c r="Z34" s="2">
        <f t="shared" si="2"/>
        <v>0.72919999999999996</v>
      </c>
      <c r="AA34" s="2">
        <f t="shared" si="3"/>
        <v>0.81210000000000004</v>
      </c>
    </row>
    <row r="35" spans="1:27" x14ac:dyDescent="0.25">
      <c r="A35" t="s">
        <v>39</v>
      </c>
      <c r="B35" t="s">
        <v>29</v>
      </c>
      <c r="C35" s="2">
        <v>1.0137</v>
      </c>
      <c r="D35" s="2">
        <v>1.0344</v>
      </c>
      <c r="E35" s="2">
        <v>1.0448</v>
      </c>
      <c r="F35" s="2">
        <v>1.0009999999999999</v>
      </c>
      <c r="G35" s="2">
        <v>1.0008999999999999</v>
      </c>
      <c r="H35" s="2">
        <v>1.0105999999999999</v>
      </c>
      <c r="I35" s="2">
        <v>1.117</v>
      </c>
      <c r="J35" s="2">
        <v>0.98819999999999997</v>
      </c>
      <c r="K35" s="2">
        <v>1.0338000000000001</v>
      </c>
      <c r="L35" s="2">
        <v>1.0195000000000001</v>
      </c>
      <c r="M35" s="2">
        <v>1.0697000000000001</v>
      </c>
      <c r="N35" s="2">
        <v>1.0346</v>
      </c>
      <c r="O35" s="2">
        <v>1.0381</v>
      </c>
      <c r="P35" s="2">
        <v>1.0624</v>
      </c>
      <c r="Q35" s="2">
        <v>0.99</v>
      </c>
      <c r="R35" s="2">
        <v>1.0039</v>
      </c>
      <c r="S35" s="2">
        <v>0.9536</v>
      </c>
      <c r="T35" s="2">
        <v>1.0149999999999999</v>
      </c>
      <c r="U35" s="2">
        <v>1.0201</v>
      </c>
      <c r="V35" s="2">
        <v>1.0192000000000001</v>
      </c>
      <c r="W35" s="2">
        <f t="shared" si="0"/>
        <v>1.0235250000000002</v>
      </c>
      <c r="X35" s="2">
        <f t="shared" si="4"/>
        <v>3.4367302008863336E-2</v>
      </c>
      <c r="Y35" s="2">
        <f t="shared" si="1"/>
        <v>3.3577393819265118</v>
      </c>
      <c r="Z35" s="2">
        <f t="shared" si="2"/>
        <v>0.9536</v>
      </c>
      <c r="AA35" s="2">
        <f t="shared" si="3"/>
        <v>1.117</v>
      </c>
    </row>
    <row r="36" spans="1:27" x14ac:dyDescent="0.25">
      <c r="A36" t="s">
        <v>39</v>
      </c>
      <c r="B36" t="s">
        <v>30</v>
      </c>
      <c r="C36" s="2">
        <v>6.6430999999999996</v>
      </c>
      <c r="D36" s="2">
        <v>6.4398</v>
      </c>
      <c r="E36" s="2">
        <v>6.3917000000000002</v>
      </c>
      <c r="F36" s="2">
        <v>6.4766000000000004</v>
      </c>
      <c r="G36" s="2">
        <v>6.1264000000000003</v>
      </c>
      <c r="H36" s="2">
        <v>6.4204999999999997</v>
      </c>
      <c r="I36" s="2">
        <v>6.2145000000000001</v>
      </c>
      <c r="J36" s="2">
        <v>5.9508000000000001</v>
      </c>
      <c r="K36" s="2">
        <v>6.5086000000000004</v>
      </c>
      <c r="L36" s="2">
        <v>6.9541000000000004</v>
      </c>
      <c r="M36" s="2">
        <v>6.2988</v>
      </c>
      <c r="N36" s="2">
        <v>6.9806999999999997</v>
      </c>
      <c r="O36" s="2">
        <v>6.2858999999999998</v>
      </c>
      <c r="P36" s="2">
        <v>7.0774999999999997</v>
      </c>
      <c r="Q36" s="2">
        <v>6.7190000000000003</v>
      </c>
      <c r="R36" s="2">
        <v>6.5309999999999997</v>
      </c>
      <c r="S36" s="2">
        <v>6.4939999999999998</v>
      </c>
      <c r="T36" s="2">
        <v>6.9717000000000002</v>
      </c>
      <c r="U36" s="2">
        <v>6.8356000000000003</v>
      </c>
      <c r="V36" s="2">
        <v>6.242</v>
      </c>
      <c r="W36" s="2">
        <f t="shared" si="0"/>
        <v>6.5281149999999997</v>
      </c>
      <c r="X36" s="2">
        <f t="shared" si="4"/>
        <v>0.31266487402228033</v>
      </c>
      <c r="Y36" s="2">
        <f t="shared" si="1"/>
        <v>4.7895123480863981</v>
      </c>
      <c r="Z36" s="2">
        <f t="shared" si="2"/>
        <v>5.9508000000000001</v>
      </c>
      <c r="AA36" s="2">
        <f t="shared" si="3"/>
        <v>7.0774999999999997</v>
      </c>
    </row>
    <row r="37" spans="1:27" x14ac:dyDescent="0.25">
      <c r="A37" t="s">
        <v>39</v>
      </c>
      <c r="B37" t="s">
        <v>31</v>
      </c>
      <c r="C37" s="2">
        <v>0.88190000000000002</v>
      </c>
      <c r="D37" s="2">
        <v>0.86470000000000002</v>
      </c>
      <c r="E37" s="2">
        <v>0.86060000000000003</v>
      </c>
      <c r="F37" s="2">
        <v>0.85970000000000002</v>
      </c>
      <c r="G37" s="2">
        <v>0.84550000000000003</v>
      </c>
      <c r="H37" s="2">
        <v>0.87080000000000002</v>
      </c>
      <c r="I37" s="2">
        <v>0.86199999999999999</v>
      </c>
      <c r="J37" s="2">
        <v>0.86180000000000001</v>
      </c>
      <c r="K37" s="2">
        <v>0.86990000000000001</v>
      </c>
      <c r="L37" s="2">
        <v>0.86760000000000004</v>
      </c>
      <c r="M37" s="2">
        <v>0.86580000000000001</v>
      </c>
      <c r="N37" s="2">
        <v>0.86739999999999995</v>
      </c>
      <c r="O37" s="2">
        <v>0.87370000000000003</v>
      </c>
      <c r="P37" s="2">
        <v>0.86380000000000001</v>
      </c>
      <c r="Q37" s="2">
        <v>0.87239999999999995</v>
      </c>
      <c r="R37" s="2">
        <v>0.88549999999999995</v>
      </c>
      <c r="S37" s="2">
        <v>0.86939999999999995</v>
      </c>
      <c r="T37" s="2">
        <v>0.86180000000000001</v>
      </c>
      <c r="U37" s="2">
        <v>0.86939999999999995</v>
      </c>
      <c r="V37" s="2">
        <v>0.86799999999999999</v>
      </c>
      <c r="W37" s="2">
        <f t="shared" si="0"/>
        <v>0.86708499999999999</v>
      </c>
      <c r="X37" s="2">
        <f t="shared" si="4"/>
        <v>8.3559165927660495E-3</v>
      </c>
      <c r="Y37" s="2">
        <f t="shared" si="1"/>
        <v>0.96367906177203499</v>
      </c>
      <c r="Z37" s="2">
        <f t="shared" si="2"/>
        <v>0.84550000000000003</v>
      </c>
      <c r="AA37" s="2">
        <f t="shared" si="3"/>
        <v>0.88549999999999995</v>
      </c>
    </row>
    <row r="38" spans="1:27" x14ac:dyDescent="0.25">
      <c r="A38" t="s">
        <v>40</v>
      </c>
      <c r="B38" t="s">
        <v>28</v>
      </c>
      <c r="C38" s="2">
        <v>0.73740000000000006</v>
      </c>
      <c r="D38" s="2">
        <v>0.71079999999999999</v>
      </c>
      <c r="E38" s="2">
        <v>0.74660000000000004</v>
      </c>
      <c r="F38" s="2">
        <v>0.76439999999999997</v>
      </c>
      <c r="G38" s="2">
        <v>0.76390000000000002</v>
      </c>
      <c r="H38" s="2">
        <v>0.7853</v>
      </c>
      <c r="I38" s="2">
        <v>0.72119999999999995</v>
      </c>
      <c r="J38" s="2">
        <v>0.74939999999999996</v>
      </c>
      <c r="K38" s="2">
        <v>0.72019999999999995</v>
      </c>
      <c r="L38" s="2">
        <v>0.70240000000000002</v>
      </c>
      <c r="M38" s="2">
        <v>0.76139999999999997</v>
      </c>
      <c r="N38" s="2">
        <v>0.74529999999999996</v>
      </c>
      <c r="O38" s="2">
        <v>0.77359999999999995</v>
      </c>
      <c r="P38" s="2">
        <v>0.77500000000000002</v>
      </c>
      <c r="Q38" s="2">
        <v>0.74829999999999997</v>
      </c>
      <c r="R38" s="2">
        <v>0.73340000000000005</v>
      </c>
      <c r="S38" s="2">
        <v>0.78469999999999995</v>
      </c>
      <c r="T38" s="2">
        <v>0.67800000000000005</v>
      </c>
      <c r="U38" s="2">
        <v>0.76670000000000005</v>
      </c>
      <c r="V38" s="2">
        <v>0.76129999999999998</v>
      </c>
      <c r="W38" s="2">
        <f t="shared" si="0"/>
        <v>0.74646499999999993</v>
      </c>
      <c r="X38" s="2">
        <f t="shared" si="4"/>
        <v>2.8556891969319209E-2</v>
      </c>
      <c r="Y38" s="2">
        <f t="shared" si="1"/>
        <v>3.8256170040550077</v>
      </c>
      <c r="Z38" s="2">
        <f t="shared" si="2"/>
        <v>0.67800000000000005</v>
      </c>
      <c r="AA38" s="2">
        <f t="shared" si="3"/>
        <v>0.7853</v>
      </c>
    </row>
    <row r="39" spans="1:27" x14ac:dyDescent="0.25">
      <c r="A39" t="s">
        <v>40</v>
      </c>
      <c r="B39" t="s">
        <v>29</v>
      </c>
      <c r="C39" s="2">
        <v>0.93120000000000003</v>
      </c>
      <c r="D39" s="2">
        <v>0.92230000000000001</v>
      </c>
      <c r="E39" s="2">
        <v>1.0307999999999999</v>
      </c>
      <c r="F39" s="2">
        <v>1.0134000000000001</v>
      </c>
      <c r="G39" s="2">
        <v>0.96619999999999995</v>
      </c>
      <c r="H39" s="2">
        <v>0.95989999999999998</v>
      </c>
      <c r="I39" s="2">
        <v>0.97260000000000002</v>
      </c>
      <c r="J39" s="2">
        <v>1.0149999999999999</v>
      </c>
      <c r="K39" s="2">
        <v>0.99519999999999997</v>
      </c>
      <c r="L39" s="2">
        <v>0.99339999999999995</v>
      </c>
      <c r="M39" s="2">
        <v>1.0036</v>
      </c>
      <c r="N39" s="2">
        <v>0.93059999999999998</v>
      </c>
      <c r="O39" s="2">
        <v>0.96040000000000003</v>
      </c>
      <c r="P39" s="2">
        <v>0.97789999999999999</v>
      </c>
      <c r="Q39" s="2">
        <v>1.0157</v>
      </c>
      <c r="R39" s="2">
        <v>1.0578000000000001</v>
      </c>
      <c r="S39" s="2">
        <v>0.99670000000000003</v>
      </c>
      <c r="T39" s="2">
        <v>1.0251999999999999</v>
      </c>
      <c r="U39" s="2">
        <v>0.98560000000000003</v>
      </c>
      <c r="V39" s="2">
        <v>1.0091000000000001</v>
      </c>
      <c r="W39" s="2">
        <f t="shared" si="0"/>
        <v>0.98812999999999995</v>
      </c>
      <c r="X39" s="2">
        <f t="shared" si="4"/>
        <v>3.5749951785024534E-2</v>
      </c>
      <c r="Y39" s="2">
        <f t="shared" si="1"/>
        <v>3.617940127819673</v>
      </c>
      <c r="Z39" s="2">
        <f t="shared" si="2"/>
        <v>0.92230000000000001</v>
      </c>
      <c r="AA39" s="2">
        <f t="shared" si="3"/>
        <v>1.0578000000000001</v>
      </c>
    </row>
    <row r="40" spans="1:27" x14ac:dyDescent="0.25">
      <c r="A40" t="s">
        <v>40</v>
      </c>
      <c r="B40" t="s">
        <v>30</v>
      </c>
      <c r="C40" s="2">
        <v>6.1673999999999998</v>
      </c>
      <c r="D40" s="2">
        <v>6.2454999999999998</v>
      </c>
      <c r="E40" s="2">
        <v>6.3304999999999998</v>
      </c>
      <c r="F40" s="2">
        <v>6.3268000000000004</v>
      </c>
      <c r="G40" s="2">
        <v>6.5702999999999996</v>
      </c>
      <c r="H40" s="2">
        <v>6.5746000000000002</v>
      </c>
      <c r="I40" s="2">
        <v>6.1105</v>
      </c>
      <c r="J40" s="2">
        <v>6.6666999999999996</v>
      </c>
      <c r="K40" s="2">
        <v>6.3917999999999999</v>
      </c>
      <c r="L40" s="2">
        <v>6.3924000000000003</v>
      </c>
      <c r="M40" s="2">
        <v>6.1676000000000002</v>
      </c>
      <c r="N40" s="2">
        <v>6.1021999999999998</v>
      </c>
      <c r="O40" s="2">
        <v>6.2958999999999996</v>
      </c>
      <c r="P40" s="2">
        <v>5.9555999999999996</v>
      </c>
      <c r="Q40" s="2">
        <v>6.1684999999999999</v>
      </c>
      <c r="R40" s="2">
        <v>6.1548999999999996</v>
      </c>
      <c r="S40" s="2">
        <v>6.5235000000000003</v>
      </c>
      <c r="T40" s="2">
        <v>6.3815</v>
      </c>
      <c r="U40" s="2">
        <v>6.0772000000000004</v>
      </c>
      <c r="V40" s="2">
        <v>6.4134000000000002</v>
      </c>
      <c r="W40" s="2">
        <f t="shared" si="0"/>
        <v>6.30084</v>
      </c>
      <c r="X40" s="2">
        <f t="shared" si="4"/>
        <v>0.19066665703594629</v>
      </c>
      <c r="Y40" s="2">
        <f t="shared" si="1"/>
        <v>3.0260514000664402</v>
      </c>
      <c r="Z40" s="2">
        <f t="shared" si="2"/>
        <v>5.9555999999999996</v>
      </c>
      <c r="AA40" s="2">
        <f t="shared" si="3"/>
        <v>6.6666999999999996</v>
      </c>
    </row>
    <row r="41" spans="1:27" x14ac:dyDescent="0.25">
      <c r="A41" t="s">
        <v>40</v>
      </c>
      <c r="B41" t="s">
        <v>31</v>
      </c>
      <c r="C41" s="2">
        <v>0.86929999999999996</v>
      </c>
      <c r="D41" s="2">
        <v>0.86729999999999996</v>
      </c>
      <c r="E41" s="2">
        <v>0.87190000000000001</v>
      </c>
      <c r="F41" s="2">
        <v>0.86829999999999996</v>
      </c>
      <c r="G41" s="2">
        <v>0.87339999999999995</v>
      </c>
      <c r="H41" s="2">
        <v>0.87380000000000002</v>
      </c>
      <c r="I41" s="2">
        <v>0.87160000000000004</v>
      </c>
      <c r="J41" s="2">
        <v>0.88039999999999996</v>
      </c>
      <c r="K41" s="2">
        <v>0.86429999999999996</v>
      </c>
      <c r="L41" s="2">
        <v>0.86639999999999995</v>
      </c>
      <c r="M41" s="2">
        <v>0.86350000000000005</v>
      </c>
      <c r="N41" s="2">
        <v>0.89849999999999997</v>
      </c>
      <c r="O41" s="2">
        <v>0.88549999999999995</v>
      </c>
      <c r="P41" s="2">
        <v>0.86839999999999995</v>
      </c>
      <c r="Q41" s="2">
        <v>0.86329999999999996</v>
      </c>
      <c r="R41" s="2">
        <v>0.87829999999999997</v>
      </c>
      <c r="S41" s="2">
        <v>0.87339999999999995</v>
      </c>
      <c r="T41" s="2">
        <v>0.86609999999999998</v>
      </c>
      <c r="U41" s="2">
        <v>0.86780000000000002</v>
      </c>
      <c r="V41" s="2">
        <v>0.86939999999999995</v>
      </c>
      <c r="W41" s="2">
        <f t="shared" si="0"/>
        <v>0.87204499999999996</v>
      </c>
      <c r="X41" s="2">
        <f t="shared" si="4"/>
        <v>8.4475767313223534E-3</v>
      </c>
      <c r="Y41" s="2">
        <f t="shared" si="1"/>
        <v>0.96870880875669885</v>
      </c>
      <c r="Z41" s="2">
        <f t="shared" si="2"/>
        <v>0.86329999999999996</v>
      </c>
      <c r="AA41" s="2">
        <f t="shared" si="3"/>
        <v>0.89849999999999997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C22" sqref="C22"/>
    </sheetView>
  </sheetViews>
  <sheetFormatPr defaultRowHeight="15" x14ac:dyDescent="0.25"/>
  <cols>
    <col min="1" max="1" width="38" customWidth="1"/>
    <col min="2" max="6" width="22" customWidth="1"/>
  </cols>
  <sheetData>
    <row r="1" spans="1:6" x14ac:dyDescent="0.25">
      <c r="A1" s="3" t="s">
        <v>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41</v>
      </c>
    </row>
    <row r="2" spans="1:6" x14ac:dyDescent="0.25">
      <c r="A2" t="s">
        <v>27</v>
      </c>
      <c r="B2" t="str">
        <f>TEXT(Results_Table14!W2,"0.000")&amp;" ± "&amp;TEXT(Results_Table14!X2,"0.000")</f>
        <v>0.579 ± 0.016</v>
      </c>
      <c r="C2" t="str">
        <f>TEXT(Results_Table14!W3,"0.000")&amp;" ± "&amp;TEXT(Results_Table14!X3,"0.000")</f>
        <v>0.764 ± 0.030</v>
      </c>
      <c r="D2" t="str">
        <f>TEXT(Results_Table14!W4,"0.000")&amp;" ± "&amp;TEXT(Results_Table14!X4,"0.000")</f>
        <v>4.890 ± 0.141</v>
      </c>
      <c r="E2" t="str">
        <f>TEXT(Results_Table14!W5,"0.000")&amp;" ± "&amp;TEXT(Results_Table14!X5,"0.000")</f>
        <v>0.903 ± 0.005</v>
      </c>
      <c r="F2">
        <v>0</v>
      </c>
    </row>
    <row r="3" spans="1:6" x14ac:dyDescent="0.25">
      <c r="A3" t="s">
        <v>32</v>
      </c>
      <c r="B3" t="str">
        <f>TEXT(Results_Table14!W6,"0.000")&amp;" ± "&amp;TEXT(Results_Table14!X6,"0.000")</f>
        <v>0.667 ± 0.026</v>
      </c>
      <c r="C3" t="str">
        <f>TEXT(Results_Table14!W7,"0.000")&amp;" ± "&amp;TEXT(Results_Table14!X7,"0.000")</f>
        <v>0.881 ± 0.041</v>
      </c>
      <c r="D3" t="str">
        <f>TEXT(Results_Table14!W8,"0.000")&amp;" ± "&amp;TEXT(Results_Table14!X8,"0.000")</f>
        <v>5.638 ± 0.181</v>
      </c>
      <c r="E3" t="str">
        <f>TEXT(Results_Table14!W9,"0.000")&amp;" ± "&amp;TEXT(Results_Table14!X9,"0.000")</f>
        <v>0.889 ± 0.007</v>
      </c>
      <c r="F3">
        <f>(Results_Table14!W6/Results_Table14!$W$2-1)*100</f>
        <v>15.224055890912558</v>
      </c>
    </row>
    <row r="4" spans="1:6" x14ac:dyDescent="0.25">
      <c r="A4" t="s">
        <v>33</v>
      </c>
      <c r="B4" t="str">
        <f>TEXT(Results_Table14!W10,"0.000")&amp;" ± "&amp;TEXT(Results_Table14!X10,"0.000")</f>
        <v>0.691 ± 0.031</v>
      </c>
      <c r="C4" t="str">
        <f>TEXT(Results_Table14!W11,"0.000")&amp;" ± "&amp;TEXT(Results_Table14!X11,"0.000")</f>
        <v>0.913 ± 0.035</v>
      </c>
      <c r="D4" t="str">
        <f>TEXT(Results_Table14!W12,"0.000")&amp;" ± "&amp;TEXT(Results_Table14!X12,"0.000")</f>
        <v>5.826 ± 0.287</v>
      </c>
      <c r="E4" t="str">
        <f>TEXT(Results_Table14!W13,"0.000")&amp;" ± "&amp;TEXT(Results_Table14!X13,"0.000")</f>
        <v>0.884 ± 0.005</v>
      </c>
      <c r="F4">
        <f>(Results_Table14!W10/Results_Table14!$W$2-1)*100</f>
        <v>19.284610136704771</v>
      </c>
    </row>
    <row r="5" spans="1:6" x14ac:dyDescent="0.25">
      <c r="A5" t="s">
        <v>34</v>
      </c>
      <c r="B5" t="str">
        <f>TEXT(Results_Table14!W14,"0.000")&amp;" ± "&amp;TEXT(Results_Table14!X14,"0.000")</f>
        <v>0.653 ± 0.025</v>
      </c>
      <c r="C5" t="str">
        <f>TEXT(Results_Table14!W15,"0.000")&amp;" ± "&amp;TEXT(Results_Table14!X15,"0.000")</f>
        <v>0.866 ± 0.042</v>
      </c>
      <c r="D5" t="str">
        <f>TEXT(Results_Table14!W16,"0.000")&amp;" ± "&amp;TEXT(Results_Table14!X16,"0.000")</f>
        <v>5.512 ± 0.160</v>
      </c>
      <c r="E5" t="str">
        <f>TEXT(Results_Table14!W17,"0.000")&amp;" ± "&amp;TEXT(Results_Table14!X17,"0.000")</f>
        <v>0.891 ± 0.005</v>
      </c>
      <c r="F5">
        <f>(Results_Table14!W14/Results_Table14!$W$2-1)*100</f>
        <v>12.806894824563674</v>
      </c>
    </row>
    <row r="6" spans="1:6" x14ac:dyDescent="0.25">
      <c r="A6" t="s">
        <v>35</v>
      </c>
      <c r="B6" t="str">
        <f>TEXT(Results_Table14!W18,"0.000")&amp;" ± "&amp;TEXT(Results_Table14!X18,"0.000")</f>
        <v>0.680 ± 0.025</v>
      </c>
      <c r="C6" t="str">
        <f>TEXT(Results_Table14!W19,"0.000")&amp;" ± "&amp;TEXT(Results_Table14!X19,"0.000")</f>
        <v>0.902 ± 0.052</v>
      </c>
      <c r="D6" t="str">
        <f>TEXT(Results_Table14!W20,"0.000")&amp;" ± "&amp;TEXT(Results_Table14!X20,"0.000")</f>
        <v>5.747 ± 0.208</v>
      </c>
      <c r="E6" t="str">
        <f>TEXT(Results_Table14!W21,"0.000")&amp;" ± "&amp;TEXT(Results_Table14!X21,"0.000")</f>
        <v>0.886 ± 0.006</v>
      </c>
      <c r="F6">
        <f>(Results_Table14!W18/Results_Table14!$W$2-1)*100</f>
        <v>17.452956466920554</v>
      </c>
    </row>
    <row r="7" spans="1:6" x14ac:dyDescent="0.25">
      <c r="A7" t="s">
        <v>36</v>
      </c>
      <c r="B7" t="str">
        <f>TEXT(Results_Table14!W22,"0.000")&amp;" ± "&amp;TEXT(Results_Table14!X22,"0.000")</f>
        <v>0.728 ± 0.027</v>
      </c>
      <c r="C7" t="str">
        <f>TEXT(Results_Table14!W23,"0.000")&amp;" ± "&amp;TEXT(Results_Table14!X23,"0.000")</f>
        <v>0.966 ± 0.044</v>
      </c>
      <c r="D7" t="str">
        <f>TEXT(Results_Table14!W24,"0.000")&amp;" ± "&amp;TEXT(Results_Table14!X24,"0.000")</f>
        <v>6.143 ± 0.306</v>
      </c>
      <c r="E7" t="str">
        <f>TEXT(Results_Table14!W25,"0.000")&amp;" ± "&amp;TEXT(Results_Table14!X25,"0.000")</f>
        <v>0.876 ± 0.008</v>
      </c>
      <c r="F7">
        <f>(Results_Table14!W22/Results_Table14!$W$2-1)*100</f>
        <v>25.663013722289875</v>
      </c>
    </row>
    <row r="8" spans="1:6" x14ac:dyDescent="0.25">
      <c r="A8" t="s">
        <v>37</v>
      </c>
      <c r="B8" t="str">
        <f>TEXT(Results_Table14!W26,"0.000")&amp;" ± "&amp;TEXT(Results_Table14!X26,"0.000")</f>
        <v>0.612 ± 0.016</v>
      </c>
      <c r="C8" t="str">
        <f>TEXT(Results_Table14!W27,"0.000")&amp;" ± "&amp;TEXT(Results_Table14!X27,"0.000")</f>
        <v>0.809 ± 0.023</v>
      </c>
      <c r="D8" t="str">
        <f>TEXT(Results_Table14!W28,"0.000")&amp;" ± "&amp;TEXT(Results_Table14!X28,"0.000")</f>
        <v>5.169 ± 0.168</v>
      </c>
      <c r="E8" t="str">
        <f>TEXT(Results_Table14!W29,"0.000")&amp;" ± "&amp;TEXT(Results_Table14!X29,"0.000")</f>
        <v>0.897 ± 0.004</v>
      </c>
      <c r="F8">
        <f>(Results_Table14!W26/Results_Table14!$W$2-1)*100</f>
        <v>5.6797671787697457</v>
      </c>
    </row>
    <row r="9" spans="1:6" x14ac:dyDescent="0.25">
      <c r="A9" t="s">
        <v>38</v>
      </c>
      <c r="B9" t="str">
        <f>TEXT(Results_Table14!W30,"0.000")&amp;" ± "&amp;TEXT(Results_Table14!X30,"0.000")</f>
        <v>0.816 ± 0.049</v>
      </c>
      <c r="C9" t="str">
        <f>TEXT(Results_Table14!W31,"0.000")&amp;" ± "&amp;TEXT(Results_Table14!X31,"0.000")</f>
        <v>1.081 ± 0.049</v>
      </c>
      <c r="D9" t="str">
        <f>TEXT(Results_Table14!W32,"0.000")&amp;" ± "&amp;TEXT(Results_Table14!X32,"0.000")</f>
        <v>6.896 ± 0.280</v>
      </c>
      <c r="E9" t="str">
        <f>TEXT(Results_Table14!W33,"0.000")&amp;" ± "&amp;TEXT(Results_Table14!X33,"0.000")</f>
        <v>0.858 ± 0.008</v>
      </c>
      <c r="F9">
        <f>(Results_Table14!W30/Results_Table14!$W$2-1)*100</f>
        <v>40.917294921284686</v>
      </c>
    </row>
    <row r="10" spans="1:6" x14ac:dyDescent="0.25">
      <c r="A10" t="s">
        <v>39</v>
      </c>
      <c r="B10" t="str">
        <f>TEXT(Results_Table14!W34,"0.000")&amp;" ± "&amp;TEXT(Results_Table14!X34,"0.000")</f>
        <v>0.774 ± 0.023</v>
      </c>
      <c r="C10" t="str">
        <f>TEXT(Results_Table14!W35,"0.000")&amp;" ± "&amp;TEXT(Results_Table14!X35,"0.000")</f>
        <v>1.024 ± 0.034</v>
      </c>
      <c r="D10" t="str">
        <f>TEXT(Results_Table14!W36,"0.000")&amp;" ± "&amp;TEXT(Results_Table14!X36,"0.000")</f>
        <v>6.528 ± 0.313</v>
      </c>
      <c r="E10" t="str">
        <f>TEXT(Results_Table14!W37,"0.000")&amp;" ± "&amp;TEXT(Results_Table14!X37,"0.000")</f>
        <v>0.867 ± 0.008</v>
      </c>
      <c r="F10">
        <f>(Results_Table14!W34/Results_Table14!$W$2-1)*100</f>
        <v>33.63990431531041</v>
      </c>
    </row>
    <row r="11" spans="1:6" x14ac:dyDescent="0.25">
      <c r="A11" t="s">
        <v>40</v>
      </c>
      <c r="B11" t="str">
        <f>TEXT(Results_Table14!W38,"0.000")&amp;" ± "&amp;TEXT(Results_Table14!X38,"0.000")</f>
        <v>0.746 ± 0.029</v>
      </c>
      <c r="C11" t="str">
        <f>TEXT(Results_Table14!W39,"0.000")&amp;" ± "&amp;TEXT(Results_Table14!X39,"0.000")</f>
        <v>0.988 ± 0.036</v>
      </c>
      <c r="D11" t="str">
        <f>TEXT(Results_Table14!W40,"0.000")&amp;" ± "&amp;TEXT(Results_Table14!X40,"0.000")</f>
        <v>6.301 ± 0.191</v>
      </c>
      <c r="E11" t="str">
        <f>TEXT(Results_Table14!W41,"0.000")&amp;" ± "&amp;TEXT(Results_Table14!X41,"0.000")</f>
        <v>0.872 ± 0.008</v>
      </c>
      <c r="F11">
        <f>(Results_Table14!W38/Results_Table14!$W$2-1)*100</f>
        <v>28.926483414941661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Results_Table14</vt:lpstr>
      <vt:lpstr>Table14_Summary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Inzamam Mashood Nasir</cp:lastModifiedBy>
  <dcterms:created xsi:type="dcterms:W3CDTF">2026-09-26T17:51:16Z</dcterms:created>
  <dcterms:modified xsi:type="dcterms:W3CDTF">2026-09-26T17:54:19Z</dcterms:modified>
</cp:coreProperties>
</file>