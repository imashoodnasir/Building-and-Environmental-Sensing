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zam\Downloads\"/>
    </mc:Choice>
  </mc:AlternateContent>
  <xr:revisionPtr revIDLastSave="0" documentId="13_ncr:1_{5F0B1F8A-24BB-4D18-85BE-825B5A549F8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Results_Table11" sheetId="1" r:id="rId1"/>
    <sheet name="Table11_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" i="1" l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2" i="1"/>
  <c r="AB36" i="1"/>
  <c r="AA36" i="1"/>
  <c r="X36" i="1"/>
  <c r="G8" i="2" s="1"/>
  <c r="AB35" i="1"/>
  <c r="AA35" i="1"/>
  <c r="X35" i="1"/>
  <c r="F8" i="2" s="1"/>
  <c r="AB34" i="1"/>
  <c r="AA34" i="1"/>
  <c r="Z34" i="1"/>
  <c r="X34" i="1"/>
  <c r="E8" i="2" s="1"/>
  <c r="AB33" i="1"/>
  <c r="AA33" i="1"/>
  <c r="X33" i="1"/>
  <c r="AB32" i="1"/>
  <c r="AA32" i="1"/>
  <c r="X32" i="1"/>
  <c r="AB31" i="1"/>
  <c r="AA31" i="1"/>
  <c r="X31" i="1"/>
  <c r="G7" i="2" s="1"/>
  <c r="AB30" i="1"/>
  <c r="AA30" i="1"/>
  <c r="X30" i="1"/>
  <c r="AB29" i="1"/>
  <c r="AA29" i="1"/>
  <c r="X29" i="1"/>
  <c r="E7" i="2" s="1"/>
  <c r="AB28" i="1"/>
  <c r="AA28" i="1"/>
  <c r="X28" i="1"/>
  <c r="AB27" i="1"/>
  <c r="AA27" i="1"/>
  <c r="X27" i="1"/>
  <c r="AB26" i="1"/>
  <c r="AA26" i="1"/>
  <c r="X26" i="1"/>
  <c r="G6" i="2" s="1"/>
  <c r="AB25" i="1"/>
  <c r="AA25" i="1"/>
  <c r="X25" i="1"/>
  <c r="F6" i="2" s="1"/>
  <c r="AB24" i="1"/>
  <c r="AA24" i="1"/>
  <c r="X24" i="1"/>
  <c r="E6" i="2" s="1"/>
  <c r="AB23" i="1"/>
  <c r="AA23" i="1"/>
  <c r="Z23" i="1"/>
  <c r="X23" i="1"/>
  <c r="AB22" i="1"/>
  <c r="AA22" i="1"/>
  <c r="X22" i="1"/>
  <c r="C6" i="2" s="1"/>
  <c r="AB21" i="1"/>
  <c r="AA21" i="1"/>
  <c r="Z21" i="1"/>
  <c r="X21" i="1"/>
  <c r="G5" i="2" s="1"/>
  <c r="AB20" i="1"/>
  <c r="AA20" i="1"/>
  <c r="X20" i="1"/>
  <c r="F5" i="2" s="1"/>
  <c r="AB19" i="1"/>
  <c r="AA19" i="1"/>
  <c r="X19" i="1"/>
  <c r="E5" i="2" s="1"/>
  <c r="AB18" i="1"/>
  <c r="AA18" i="1"/>
  <c r="X18" i="1"/>
  <c r="D5" i="2" s="1"/>
  <c r="AB17" i="1"/>
  <c r="AA17" i="1"/>
  <c r="X17" i="1"/>
  <c r="AB16" i="1"/>
  <c r="AA16" i="1"/>
  <c r="X16" i="1"/>
  <c r="AB15" i="1"/>
  <c r="AA15" i="1"/>
  <c r="X15" i="1"/>
  <c r="AB14" i="1"/>
  <c r="AA14" i="1"/>
  <c r="Z14" i="1"/>
  <c r="X14" i="1"/>
  <c r="E4" i="2" s="1"/>
  <c r="AB13" i="1"/>
  <c r="AA13" i="1"/>
  <c r="X13" i="1"/>
  <c r="AB12" i="1"/>
  <c r="AA12" i="1"/>
  <c r="X12" i="1"/>
  <c r="C4" i="2" s="1"/>
  <c r="AB11" i="1"/>
  <c r="AA11" i="1"/>
  <c r="Z11" i="1"/>
  <c r="X11" i="1"/>
  <c r="G3" i="2" s="1"/>
  <c r="AB10" i="1"/>
  <c r="AA10" i="1"/>
  <c r="X10" i="1"/>
  <c r="AB9" i="1"/>
  <c r="AA9" i="1"/>
  <c r="Z9" i="1"/>
  <c r="X9" i="1"/>
  <c r="AB8" i="1"/>
  <c r="AA8" i="1"/>
  <c r="Z8" i="1"/>
  <c r="X8" i="1"/>
  <c r="AB7" i="1"/>
  <c r="AA7" i="1"/>
  <c r="X7" i="1"/>
  <c r="AB6" i="1"/>
  <c r="AA6" i="1"/>
  <c r="Z6" i="1"/>
  <c r="X6" i="1"/>
  <c r="AB5" i="1"/>
  <c r="AA5" i="1"/>
  <c r="X5" i="1"/>
  <c r="AB4" i="1"/>
  <c r="AA4" i="1"/>
  <c r="Z4" i="1"/>
  <c r="X4" i="1"/>
  <c r="E2" i="2" s="1"/>
  <c r="AB3" i="1"/>
  <c r="AA3" i="1"/>
  <c r="Z3" i="1"/>
  <c r="X3" i="1"/>
  <c r="AB2" i="1"/>
  <c r="AA2" i="1"/>
  <c r="X2" i="1"/>
  <c r="Z36" i="1" l="1"/>
  <c r="Z35" i="1"/>
  <c r="Z33" i="1"/>
  <c r="Z32" i="1"/>
  <c r="Z31" i="1"/>
  <c r="Z30" i="1"/>
  <c r="Z29" i="1"/>
  <c r="Z28" i="1"/>
  <c r="Z27" i="1"/>
  <c r="Z26" i="1"/>
  <c r="Z25" i="1"/>
  <c r="Z24" i="1"/>
  <c r="D6" i="2"/>
  <c r="Z22" i="1"/>
  <c r="Z16" i="1"/>
  <c r="Z18" i="1"/>
  <c r="Z17" i="1"/>
  <c r="Z15" i="1"/>
  <c r="Z13" i="1"/>
  <c r="Z2" i="1"/>
  <c r="Z20" i="1"/>
  <c r="Z19" i="1"/>
  <c r="Z12" i="1"/>
  <c r="Z10" i="1"/>
  <c r="Z7" i="1"/>
  <c r="Z5" i="1"/>
  <c r="F7" i="2"/>
  <c r="D3" i="2"/>
  <c r="D8" i="2"/>
  <c r="C5" i="2"/>
  <c r="D4" i="2"/>
  <c r="C8" i="2"/>
  <c r="C7" i="2"/>
  <c r="F4" i="2"/>
  <c r="C2" i="2"/>
  <c r="G2" i="2"/>
  <c r="C3" i="2"/>
  <c r="F3" i="2"/>
  <c r="D2" i="2"/>
  <c r="G4" i="2"/>
  <c r="D7" i="2"/>
  <c r="E3" i="2"/>
  <c r="F2" i="2"/>
</calcChain>
</file>

<file path=xl/sharedStrings.xml><?xml version="1.0" encoding="utf-8"?>
<sst xmlns="http://schemas.openxmlformats.org/spreadsheetml/2006/main" count="154" uniqueCount="46">
  <si>
    <t>Coverage</t>
  </si>
  <si>
    <t>Rejected</t>
  </si>
  <si>
    <t>Metric</t>
  </si>
  <si>
    <t>Run 1</t>
  </si>
  <si>
    <t>Run 2</t>
  </si>
  <si>
    <t>Run 3</t>
  </si>
  <si>
    <t>Run 4</t>
  </si>
  <si>
    <t>Run 5</t>
  </si>
  <si>
    <t>Run 6</t>
  </si>
  <si>
    <t>Run 7</t>
  </si>
  <si>
    <t>Run 8</t>
  </si>
  <si>
    <t>Run 9</t>
  </si>
  <si>
    <t>Run 10</t>
  </si>
  <si>
    <t>Run 11</t>
  </si>
  <si>
    <t>Run 12</t>
  </si>
  <si>
    <t>Run 13</t>
  </si>
  <si>
    <t>Run 14</t>
  </si>
  <si>
    <t>Run 15</t>
  </si>
  <si>
    <t>Run 16</t>
  </si>
  <si>
    <t>Run 17</t>
  </si>
  <si>
    <t>Run 18</t>
  </si>
  <si>
    <t>Run 19</t>
  </si>
  <si>
    <t>Run 20</t>
  </si>
  <si>
    <t>Mean</t>
  </si>
  <si>
    <t>SD</t>
  </si>
  <si>
    <t>CV (%)</t>
  </si>
  <si>
    <t>Min</t>
  </si>
  <si>
    <t>Max</t>
  </si>
  <si>
    <t>100%</t>
  </si>
  <si>
    <t>0%</t>
  </si>
  <si>
    <t>MAE</t>
  </si>
  <si>
    <t>RMSE</t>
  </si>
  <si>
    <t>sMAPE (%)</t>
  </si>
  <si>
    <t>R2</t>
  </si>
  <si>
    <t>NLL</t>
  </si>
  <si>
    <t>95%</t>
  </si>
  <si>
    <t>5%</t>
  </si>
  <si>
    <t>90%</t>
  </si>
  <si>
    <t>10%</t>
  </si>
  <si>
    <t>80%</t>
  </si>
  <si>
    <t>20%</t>
  </si>
  <si>
    <t>70%</t>
  </si>
  <si>
    <t>30%</t>
  </si>
  <si>
    <t>60%</t>
  </si>
  <si>
    <t>40%</t>
  </si>
  <si>
    <t>50%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</si>
</sst>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6"/>
  <sheetViews>
    <sheetView tabSelected="1" workbookViewId="0">
      <pane xSplit="3" ySplit="1" topLeftCell="M2" activePane="bottomRight" state="frozen"/>
      <selection pane="topRight"/>
      <selection pane="bottomLeft"/>
      <selection pane="bottomRight" activeCell="U33" sqref="U33"/>
    </sheetView>
  </sheetViews>
  <sheetFormatPr defaultRowHeight="15" x14ac:dyDescent="0.25"/>
  <cols>
    <col min="1" max="2" width="12" customWidth="1"/>
    <col min="3" max="3" width="16" customWidth="1"/>
    <col min="4" max="28" width="11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t="s">
        <v>28</v>
      </c>
      <c r="B2" t="s">
        <v>29</v>
      </c>
      <c r="C2" t="s">
        <v>30</v>
      </c>
      <c r="D2" s="2">
        <v>0.8429065703686508</v>
      </c>
      <c r="E2" s="2">
        <v>0.82543987477848813</v>
      </c>
      <c r="F2" s="2">
        <v>0.77711920126456402</v>
      </c>
      <c r="G2" s="2">
        <v>0.78436194574018381</v>
      </c>
      <c r="H2" s="2">
        <v>0.85801119205396081</v>
      </c>
      <c r="I2" s="2">
        <v>0.82917347676233832</v>
      </c>
      <c r="J2" s="2">
        <v>0.78278669458189054</v>
      </c>
      <c r="K2" s="2">
        <v>0.8165483806796715</v>
      </c>
      <c r="L2" s="2">
        <v>0.81730110682568502</v>
      </c>
      <c r="M2" s="2">
        <v>0.86182007274570427</v>
      </c>
      <c r="N2" s="2">
        <v>0.80904579132043386</v>
      </c>
      <c r="O2" s="2">
        <v>0.81978621617744396</v>
      </c>
      <c r="P2" s="2">
        <v>0.81181212848159501</v>
      </c>
      <c r="Q2" s="2">
        <v>0.79743665158610355</v>
      </c>
      <c r="R2" s="2">
        <v>0.81507180151929304</v>
      </c>
      <c r="S2" s="2">
        <v>0.79210396084986645</v>
      </c>
      <c r="T2" s="2">
        <v>0.79214998974319561</v>
      </c>
      <c r="U2" s="2">
        <v>0.79931687477323443</v>
      </c>
      <c r="V2" s="2">
        <v>0.8320969055322659</v>
      </c>
      <c r="W2" s="2">
        <v>0.77571116421543196</v>
      </c>
      <c r="X2" s="2">
        <f t="shared" ref="X2:X36" si="0">AVERAGE(D2:W2)</f>
        <v>0.81200000000000006</v>
      </c>
      <c r="Y2" s="2">
        <f>_xlfn.STDEV.S(D2:W2)</f>
        <v>2.5000000000000008E-2</v>
      </c>
      <c r="Z2" s="2">
        <f t="shared" ref="Z2:Z36" si="1">IFERROR(Y2/ABS(X2)*100,"")</f>
        <v>3.0788177339901486</v>
      </c>
      <c r="AA2" s="2">
        <f t="shared" ref="AA2:AA36" si="2">MIN(D2:W2)</f>
        <v>0.77571116421543196</v>
      </c>
      <c r="AB2" s="2">
        <f t="shared" ref="AB2:AB36" si="3">MAX(D2:W2)</f>
        <v>0.86182007274570427</v>
      </c>
    </row>
    <row r="3" spans="1:28" x14ac:dyDescent="0.25">
      <c r="A3" t="s">
        <v>28</v>
      </c>
      <c r="B3" t="s">
        <v>29</v>
      </c>
      <c r="C3" t="s">
        <v>31</v>
      </c>
      <c r="D3" s="2">
        <v>1.1078989035302751</v>
      </c>
      <c r="E3" s="2">
        <v>1.073165553273755</v>
      </c>
      <c r="F3" s="2">
        <v>0.99628521712204909</v>
      </c>
      <c r="G3" s="2">
        <v>1.0513591888989879</v>
      </c>
      <c r="H3" s="2">
        <v>1.13941821999862</v>
      </c>
      <c r="I3" s="2">
        <v>1.0673204118622051</v>
      </c>
      <c r="J3" s="2">
        <v>1.087990008628217</v>
      </c>
      <c r="K3" s="2">
        <v>1.105511946398182</v>
      </c>
      <c r="L3" s="2">
        <v>1.087072628026414</v>
      </c>
      <c r="M3" s="2">
        <v>1.0197699654290719</v>
      </c>
      <c r="N3" s="2">
        <v>1.071445603968354</v>
      </c>
      <c r="O3" s="2">
        <v>1.0807400313137381</v>
      </c>
      <c r="P3" s="2">
        <v>1.088491800563113</v>
      </c>
      <c r="Q3" s="2">
        <v>1.0707800456129519</v>
      </c>
      <c r="R3" s="2">
        <v>1.0678253795805579</v>
      </c>
      <c r="S3" s="2">
        <v>1.069030263624549</v>
      </c>
      <c r="T3" s="2">
        <v>1.102459561715482</v>
      </c>
      <c r="U3" s="2">
        <v>1.052961134389887</v>
      </c>
      <c r="V3" s="2">
        <v>1.1136280665518941</v>
      </c>
      <c r="W3" s="2">
        <v>1.0668460695117019</v>
      </c>
      <c r="X3" s="2">
        <f t="shared" si="0"/>
        <v>1.0760000000000001</v>
      </c>
      <c r="Y3" s="2">
        <f t="shared" ref="Y3:Y36" si="4">_xlfn.STDEV.S(D3:W3)</f>
        <v>3.2000000000000021E-2</v>
      </c>
      <c r="Z3" s="2">
        <f t="shared" si="1"/>
        <v>2.9739776951672883</v>
      </c>
      <c r="AA3" s="2">
        <f t="shared" si="2"/>
        <v>0.99628521712204909</v>
      </c>
      <c r="AB3" s="2">
        <f t="shared" si="3"/>
        <v>1.13941821999862</v>
      </c>
    </row>
    <row r="4" spans="1:28" x14ac:dyDescent="0.25">
      <c r="A4" t="s">
        <v>28</v>
      </c>
      <c r="B4" t="s">
        <v>29</v>
      </c>
      <c r="C4" t="s">
        <v>32</v>
      </c>
      <c r="D4" s="2">
        <v>7.009340505143939</v>
      </c>
      <c r="E4" s="2">
        <v>6.9953839387321839</v>
      </c>
      <c r="F4" s="2">
        <v>6.9825142041542616</v>
      </c>
      <c r="G4" s="2">
        <v>6.8115257595913903</v>
      </c>
      <c r="H4" s="2">
        <v>6.9070447533158026</v>
      </c>
      <c r="I4" s="2">
        <v>6.5939013336432204</v>
      </c>
      <c r="J4" s="2">
        <v>7.1855582390701009</v>
      </c>
      <c r="K4" s="2">
        <v>6.7469568287955513</v>
      </c>
      <c r="L4" s="2">
        <v>7.1035218876576716</v>
      </c>
      <c r="M4" s="2">
        <v>6.7669475523307572</v>
      </c>
      <c r="N4" s="2">
        <v>6.9967758249054768</v>
      </c>
      <c r="O4" s="2">
        <v>7.0676486587087632</v>
      </c>
      <c r="P4" s="2">
        <v>6.8975250425823234</v>
      </c>
      <c r="Q4" s="2">
        <v>6.7982711240798626</v>
      </c>
      <c r="R4" s="2">
        <v>6.9636753368382607</v>
      </c>
      <c r="S4" s="2">
        <v>6.9005849599784321</v>
      </c>
      <c r="T4" s="2">
        <v>6.4339941558069329</v>
      </c>
      <c r="U4" s="2">
        <v>6.5555939205750082</v>
      </c>
      <c r="V4" s="2">
        <v>7.3673806813086644</v>
      </c>
      <c r="W4" s="2">
        <v>6.4358552927814179</v>
      </c>
      <c r="X4" s="2">
        <f t="shared" si="0"/>
        <v>6.8760000000000003</v>
      </c>
      <c r="Y4" s="2">
        <f t="shared" si="4"/>
        <v>0.24099999999999994</v>
      </c>
      <c r="Z4" s="2">
        <f t="shared" si="1"/>
        <v>3.5049447353112266</v>
      </c>
      <c r="AA4" s="2">
        <f t="shared" si="2"/>
        <v>6.4339941558069329</v>
      </c>
      <c r="AB4" s="2">
        <f t="shared" si="3"/>
        <v>7.3673806813086644</v>
      </c>
    </row>
    <row r="5" spans="1:28" x14ac:dyDescent="0.25">
      <c r="A5" t="s">
        <v>28</v>
      </c>
      <c r="B5" t="s">
        <v>29</v>
      </c>
      <c r="C5" t="s">
        <v>33</v>
      </c>
      <c r="D5" s="2">
        <v>0.86147563046649966</v>
      </c>
      <c r="E5" s="2">
        <v>0.8677859216918582</v>
      </c>
      <c r="F5" s="2">
        <v>0.85632062648690344</v>
      </c>
      <c r="G5" s="2">
        <v>0.85485172364038486</v>
      </c>
      <c r="H5" s="2">
        <v>0.8648003389408615</v>
      </c>
      <c r="I5" s="2">
        <v>0.86615984598303508</v>
      </c>
      <c r="J5" s="2">
        <v>0.85951026052053037</v>
      </c>
      <c r="K5" s="2">
        <v>0.85412774827161353</v>
      </c>
      <c r="L5" s="2">
        <v>0.86344385358604869</v>
      </c>
      <c r="M5" s="2">
        <v>0.86566364881242541</v>
      </c>
      <c r="N5" s="2">
        <v>0.85668504921785282</v>
      </c>
      <c r="O5" s="2">
        <v>0.86406713749654407</v>
      </c>
      <c r="P5" s="2">
        <v>0.85940603479331246</v>
      </c>
      <c r="Q5" s="2">
        <v>0.85918238842764427</v>
      </c>
      <c r="R5" s="2">
        <v>0.86062174739766739</v>
      </c>
      <c r="S5" s="2">
        <v>0.86099667512518863</v>
      </c>
      <c r="T5" s="2">
        <v>0.85914800421259863</v>
      </c>
      <c r="U5" s="2">
        <v>0.86259482008818</v>
      </c>
      <c r="V5" s="2">
        <v>0.87344507036591301</v>
      </c>
      <c r="W5" s="2">
        <v>0.86971347447493985</v>
      </c>
      <c r="X5" s="2">
        <f t="shared" si="0"/>
        <v>0.8620000000000001</v>
      </c>
      <c r="Y5" s="2">
        <f t="shared" si="4"/>
        <v>5.0000000000000001E-3</v>
      </c>
      <c r="Z5" s="2">
        <f t="shared" si="1"/>
        <v>0.58004640371229699</v>
      </c>
      <c r="AA5" s="2">
        <f t="shared" si="2"/>
        <v>0.85412774827161353</v>
      </c>
      <c r="AB5" s="2">
        <f t="shared" si="3"/>
        <v>0.87344507036591301</v>
      </c>
    </row>
    <row r="6" spans="1:28" x14ac:dyDescent="0.25">
      <c r="A6" t="s">
        <v>28</v>
      </c>
      <c r="B6" t="s">
        <v>29</v>
      </c>
      <c r="C6" t="s">
        <v>34</v>
      </c>
      <c r="D6" s="2">
        <v>0.25009471797630378</v>
      </c>
      <c r="E6" s="2">
        <v>0.2387886027579543</v>
      </c>
      <c r="F6" s="2">
        <v>0.25659067791598761</v>
      </c>
      <c r="G6" s="2">
        <v>0.24071705846346789</v>
      </c>
      <c r="H6" s="2">
        <v>0.24966206954246631</v>
      </c>
      <c r="I6" s="2">
        <v>0.22992395833055959</v>
      </c>
      <c r="J6" s="2">
        <v>0.26177076799131399</v>
      </c>
      <c r="K6" s="2">
        <v>0.22510221909385389</v>
      </c>
      <c r="L6" s="2">
        <v>0.22028523757774879</v>
      </c>
      <c r="M6" s="2">
        <v>0.25566072580657689</v>
      </c>
      <c r="N6" s="2">
        <v>0.2782426138344376</v>
      </c>
      <c r="O6" s="2">
        <v>0.24799582612058291</v>
      </c>
      <c r="P6" s="2">
        <v>0.27352336881478961</v>
      </c>
      <c r="Q6" s="2">
        <v>0.24335428459936401</v>
      </c>
      <c r="R6" s="2">
        <v>0.2333416443146277</v>
      </c>
      <c r="S6" s="2">
        <v>0.27338056326827281</v>
      </c>
      <c r="T6" s="2">
        <v>0.21743092693535171</v>
      </c>
      <c r="U6" s="2">
        <v>0.21156297836533181</v>
      </c>
      <c r="V6" s="2">
        <v>0.25447467810906738</v>
      </c>
      <c r="W6" s="2">
        <v>0.25809708018194122</v>
      </c>
      <c r="X6" s="2">
        <f t="shared" si="0"/>
        <v>0.246</v>
      </c>
      <c r="Y6" s="2">
        <f t="shared" si="4"/>
        <v>1.9000000000000013E-2</v>
      </c>
      <c r="Z6" s="2">
        <f t="shared" si="1"/>
        <v>7.723577235772364</v>
      </c>
      <c r="AA6" s="2">
        <f t="shared" si="2"/>
        <v>0.21156297836533181</v>
      </c>
      <c r="AB6" s="2">
        <f t="shared" si="3"/>
        <v>0.2782426138344376</v>
      </c>
    </row>
    <row r="7" spans="1:28" x14ac:dyDescent="0.25">
      <c r="A7" t="s">
        <v>35</v>
      </c>
      <c r="B7" t="s">
        <v>36</v>
      </c>
      <c r="C7" t="s">
        <v>30</v>
      </c>
      <c r="D7" s="2">
        <v>0.74811434556941503</v>
      </c>
      <c r="E7" s="2">
        <v>0.74995928677211177</v>
      </c>
      <c r="F7" s="2">
        <v>0.78307676368178813</v>
      </c>
      <c r="G7" s="2">
        <v>0.75800345581078687</v>
      </c>
      <c r="H7" s="2">
        <v>0.7999388430704002</v>
      </c>
      <c r="I7" s="2">
        <v>0.75732843793401361</v>
      </c>
      <c r="J7" s="2">
        <v>0.79084262989990417</v>
      </c>
      <c r="K7" s="2">
        <v>0.7352207762707782</v>
      </c>
      <c r="L7" s="2">
        <v>0.73730882233076056</v>
      </c>
      <c r="M7" s="2">
        <v>0.79644251822495016</v>
      </c>
      <c r="N7" s="2">
        <v>0.74335325886716397</v>
      </c>
      <c r="O7" s="2">
        <v>0.73461523284444119</v>
      </c>
      <c r="P7" s="2">
        <v>0.79550228090820141</v>
      </c>
      <c r="Q7" s="2">
        <v>0.79315989387798869</v>
      </c>
      <c r="R7" s="2">
        <v>0.69378887433091374</v>
      </c>
      <c r="S7" s="2">
        <v>0.76575998011405566</v>
      </c>
      <c r="T7" s="2">
        <v>0.8031049063538227</v>
      </c>
      <c r="U7" s="2">
        <v>0.76309517843329799</v>
      </c>
      <c r="V7" s="2">
        <v>0.79731441036422468</v>
      </c>
      <c r="W7" s="2">
        <v>0.73407010434098163</v>
      </c>
      <c r="X7" s="2">
        <f t="shared" si="0"/>
        <v>0.76399999999999979</v>
      </c>
      <c r="Y7" s="2">
        <f t="shared" si="4"/>
        <v>0.03</v>
      </c>
      <c r="Z7" s="2">
        <f t="shared" si="1"/>
        <v>3.926701570680629</v>
      </c>
      <c r="AA7" s="2">
        <f t="shared" si="2"/>
        <v>0.69378887433091374</v>
      </c>
      <c r="AB7" s="2">
        <f t="shared" si="3"/>
        <v>0.8031049063538227</v>
      </c>
    </row>
    <row r="8" spans="1:28" x14ac:dyDescent="0.25">
      <c r="A8" t="s">
        <v>35</v>
      </c>
      <c r="B8" t="s">
        <v>36</v>
      </c>
      <c r="C8" t="s">
        <v>31</v>
      </c>
      <c r="D8" s="2">
        <v>1.043716297726339</v>
      </c>
      <c r="E8" s="2">
        <v>1.0057348774802679</v>
      </c>
      <c r="F8" s="2">
        <v>1.035908506161435</v>
      </c>
      <c r="G8" s="2">
        <v>0.97745063122471643</v>
      </c>
      <c r="H8" s="2">
        <v>0.97597850060420477</v>
      </c>
      <c r="I8" s="2">
        <v>0.9814639041023594</v>
      </c>
      <c r="J8" s="2">
        <v>0.9865565892234629</v>
      </c>
      <c r="K8" s="2">
        <v>1.0428514656266921</v>
      </c>
      <c r="L8" s="2">
        <v>0.99215938961058758</v>
      </c>
      <c r="M8" s="2">
        <v>1.070898588528749</v>
      </c>
      <c r="N8" s="2">
        <v>1.055961159994425</v>
      </c>
      <c r="O8" s="2">
        <v>1.0189736821992159</v>
      </c>
      <c r="P8" s="2">
        <v>1.0467608151168779</v>
      </c>
      <c r="Q8" s="2">
        <v>0.95233870560101008</v>
      </c>
      <c r="R8" s="2">
        <v>1.0390545682287631</v>
      </c>
      <c r="S8" s="2">
        <v>0.95817428831621543</v>
      </c>
      <c r="T8" s="2">
        <v>0.96172349097035459</v>
      </c>
      <c r="U8" s="2">
        <v>1.045692854855264</v>
      </c>
      <c r="V8" s="2">
        <v>1.016895760812317</v>
      </c>
      <c r="W8" s="2">
        <v>0.97170592361673935</v>
      </c>
      <c r="X8" s="2">
        <f t="shared" si="0"/>
        <v>1.0089999999999999</v>
      </c>
      <c r="Y8" s="2">
        <f t="shared" si="4"/>
        <v>3.6999999999999915E-2</v>
      </c>
      <c r="Z8" s="2">
        <f t="shared" si="1"/>
        <v>3.6669970267591592</v>
      </c>
      <c r="AA8" s="2">
        <f t="shared" si="2"/>
        <v>0.95233870560101008</v>
      </c>
      <c r="AB8" s="2">
        <f t="shared" si="3"/>
        <v>1.070898588528749</v>
      </c>
    </row>
    <row r="9" spans="1:28" x14ac:dyDescent="0.25">
      <c r="A9" t="s">
        <v>35</v>
      </c>
      <c r="B9" t="s">
        <v>36</v>
      </c>
      <c r="C9" t="s">
        <v>32</v>
      </c>
      <c r="D9" s="2">
        <v>6.7303233598505683</v>
      </c>
      <c r="E9" s="2">
        <v>6.3568167228504784</v>
      </c>
      <c r="F9" s="2">
        <v>6.3347993752636196</v>
      </c>
      <c r="G9" s="2">
        <v>6.3640369543904702</v>
      </c>
      <c r="H9" s="2">
        <v>6.4813848304311863</v>
      </c>
      <c r="I9" s="2">
        <v>6.539641629129445</v>
      </c>
      <c r="J9" s="2">
        <v>7.0689588413799509</v>
      </c>
      <c r="K9" s="2">
        <v>5.9881534545340029</v>
      </c>
      <c r="L9" s="2">
        <v>6.9017661027833102</v>
      </c>
      <c r="M9" s="2">
        <v>6.4939817097918073</v>
      </c>
      <c r="N9" s="2">
        <v>6.0312592610446227</v>
      </c>
      <c r="O9" s="2">
        <v>6.4181469073536306</v>
      </c>
      <c r="P9" s="2">
        <v>6.6194664601827364</v>
      </c>
      <c r="Q9" s="2">
        <v>6.65859783161092</v>
      </c>
      <c r="R9" s="2">
        <v>6.1594062141705583</v>
      </c>
      <c r="S9" s="2">
        <v>6.3964527446348987</v>
      </c>
      <c r="T9" s="2">
        <v>6.472313574421376</v>
      </c>
      <c r="U9" s="2">
        <v>6.1414201833197666</v>
      </c>
      <c r="V9" s="2">
        <v>6.9154369437344103</v>
      </c>
      <c r="W9" s="2">
        <v>6.4476368991222213</v>
      </c>
      <c r="X9" s="2">
        <f t="shared" si="0"/>
        <v>6.4759999999999991</v>
      </c>
      <c r="Y9" s="2">
        <f t="shared" si="4"/>
        <v>0.28600000000000009</v>
      </c>
      <c r="Z9" s="2">
        <f t="shared" si="1"/>
        <v>4.4163063619518237</v>
      </c>
      <c r="AA9" s="2">
        <f t="shared" si="2"/>
        <v>5.9881534545340029</v>
      </c>
      <c r="AB9" s="2">
        <f t="shared" si="3"/>
        <v>7.0689588413799509</v>
      </c>
    </row>
    <row r="10" spans="1:28" x14ac:dyDescent="0.25">
      <c r="A10" t="s">
        <v>35</v>
      </c>
      <c r="B10" t="s">
        <v>36</v>
      </c>
      <c r="C10" t="s">
        <v>33</v>
      </c>
      <c r="D10" s="2">
        <v>0.87224624394506967</v>
      </c>
      <c r="E10" s="2">
        <v>0.87187937578413022</v>
      </c>
      <c r="F10" s="2">
        <v>0.87714279910091286</v>
      </c>
      <c r="G10" s="2">
        <v>0.87033586609829905</v>
      </c>
      <c r="H10" s="2">
        <v>0.87076375095003555</v>
      </c>
      <c r="I10" s="2">
        <v>0.86639759893416313</v>
      </c>
      <c r="J10" s="2">
        <v>0.8669055390067022</v>
      </c>
      <c r="K10" s="2">
        <v>0.87345102093234361</v>
      </c>
      <c r="L10" s="2">
        <v>0.86184984538893961</v>
      </c>
      <c r="M10" s="2">
        <v>0.87772542084731953</v>
      </c>
      <c r="N10" s="2">
        <v>0.85828910383098966</v>
      </c>
      <c r="O10" s="2">
        <v>0.86533098127215646</v>
      </c>
      <c r="P10" s="2">
        <v>0.87794632506110115</v>
      </c>
      <c r="Q10" s="2">
        <v>0.87131419841998814</v>
      </c>
      <c r="R10" s="2">
        <v>0.85921867268070351</v>
      </c>
      <c r="S10" s="2">
        <v>0.88007979186341256</v>
      </c>
      <c r="T10" s="2">
        <v>0.86587014498707349</v>
      </c>
      <c r="U10" s="2">
        <v>0.87185636749246076</v>
      </c>
      <c r="V10" s="2">
        <v>0.87065281629075175</v>
      </c>
      <c r="W10" s="2">
        <v>0.87074413711344956</v>
      </c>
      <c r="X10" s="2">
        <f t="shared" si="0"/>
        <v>0.86999999999999988</v>
      </c>
      <c r="Y10" s="2">
        <f t="shared" si="4"/>
        <v>6.000000000000001E-3</v>
      </c>
      <c r="Z10" s="2">
        <f t="shared" si="1"/>
        <v>0.68965517241379326</v>
      </c>
      <c r="AA10" s="2">
        <f t="shared" si="2"/>
        <v>0.85828910383098966</v>
      </c>
      <c r="AB10" s="2">
        <f t="shared" si="3"/>
        <v>0.88007979186341256</v>
      </c>
    </row>
    <row r="11" spans="1:28" x14ac:dyDescent="0.25">
      <c r="A11" t="s">
        <v>35</v>
      </c>
      <c r="B11" t="s">
        <v>36</v>
      </c>
      <c r="C11" t="s">
        <v>34</v>
      </c>
      <c r="D11" s="2">
        <v>0.19792867688418619</v>
      </c>
      <c r="E11" s="2">
        <v>0.1811907883799444</v>
      </c>
      <c r="F11" s="2">
        <v>0.15338224804235309</v>
      </c>
      <c r="G11" s="2">
        <v>0.19645229294993749</v>
      </c>
      <c r="H11" s="2">
        <v>0.17604276290598159</v>
      </c>
      <c r="I11" s="2">
        <v>0.17108843989361849</v>
      </c>
      <c r="J11" s="2">
        <v>0.2102596119905909</v>
      </c>
      <c r="K11" s="2">
        <v>0.23400791577364241</v>
      </c>
      <c r="L11" s="2">
        <v>0.18064990467652861</v>
      </c>
      <c r="M11" s="2">
        <v>0.19210851350490821</v>
      </c>
      <c r="N11" s="2">
        <v>0.1757501987457484</v>
      </c>
      <c r="O11" s="2">
        <v>0.15529980931311629</v>
      </c>
      <c r="P11" s="2">
        <v>0.16567941694480359</v>
      </c>
      <c r="Q11" s="2">
        <v>0.19522365884443499</v>
      </c>
      <c r="R11" s="2">
        <v>0.18117284550278631</v>
      </c>
      <c r="S11" s="2">
        <v>0.13905034264281221</v>
      </c>
      <c r="T11" s="2">
        <v>0.18109953272196999</v>
      </c>
      <c r="U11" s="2">
        <v>0.16710750160178239</v>
      </c>
      <c r="V11" s="2">
        <v>0.18998006786113419</v>
      </c>
      <c r="W11" s="2">
        <v>0.1765254708197197</v>
      </c>
      <c r="X11" s="2">
        <f t="shared" si="0"/>
        <v>0.18099999999999997</v>
      </c>
      <c r="Y11" s="2">
        <f t="shared" si="4"/>
        <v>2.1000000000000033E-2</v>
      </c>
      <c r="Z11" s="2">
        <f t="shared" si="1"/>
        <v>11.602209944751401</v>
      </c>
      <c r="AA11" s="2">
        <f t="shared" si="2"/>
        <v>0.13905034264281221</v>
      </c>
      <c r="AB11" s="2">
        <f t="shared" si="3"/>
        <v>0.23400791577364241</v>
      </c>
    </row>
    <row r="12" spans="1:28" x14ac:dyDescent="0.25">
      <c r="A12" t="s">
        <v>37</v>
      </c>
      <c r="B12" t="s">
        <v>38</v>
      </c>
      <c r="C12" t="s">
        <v>30</v>
      </c>
      <c r="D12" s="2">
        <v>0.70069237535785445</v>
      </c>
      <c r="E12" s="2">
        <v>0.72722118380597722</v>
      </c>
      <c r="F12" s="2">
        <v>0.6981562718409785</v>
      </c>
      <c r="G12" s="2">
        <v>0.65203987121866025</v>
      </c>
      <c r="H12" s="2">
        <v>0.70806760999591656</v>
      </c>
      <c r="I12" s="2">
        <v>0.6829181179004391</v>
      </c>
      <c r="J12" s="2">
        <v>0.69854192535848325</v>
      </c>
      <c r="K12" s="2">
        <v>0.690953301749337</v>
      </c>
      <c r="L12" s="2">
        <v>0.6997491751977899</v>
      </c>
      <c r="M12" s="2">
        <v>0.71412969451630359</v>
      </c>
      <c r="N12" s="2">
        <v>0.71824316370885966</v>
      </c>
      <c r="O12" s="2">
        <v>0.7001507272823968</v>
      </c>
      <c r="P12" s="2">
        <v>0.73375936633319905</v>
      </c>
      <c r="Q12" s="2">
        <v>0.73249664163905415</v>
      </c>
      <c r="R12" s="2">
        <v>0.6949146504463829</v>
      </c>
      <c r="S12" s="2">
        <v>0.70727462094671012</v>
      </c>
      <c r="T12" s="2">
        <v>0.72025514903251964</v>
      </c>
      <c r="U12" s="2">
        <v>0.72958443333109113</v>
      </c>
      <c r="V12" s="2">
        <v>0.72335271138944957</v>
      </c>
      <c r="W12" s="2">
        <v>0.72749900894859643</v>
      </c>
      <c r="X12" s="2">
        <f t="shared" si="0"/>
        <v>0.70800000000000007</v>
      </c>
      <c r="Y12" s="2">
        <f t="shared" si="4"/>
        <v>2.0000000000000007E-2</v>
      </c>
      <c r="Z12" s="2">
        <f t="shared" si="1"/>
        <v>2.8248587570621475</v>
      </c>
      <c r="AA12" s="2">
        <f t="shared" si="2"/>
        <v>0.65203987121866025</v>
      </c>
      <c r="AB12" s="2">
        <f t="shared" si="3"/>
        <v>0.73375936633319905</v>
      </c>
    </row>
    <row r="13" spans="1:28" x14ac:dyDescent="0.25">
      <c r="A13" t="s">
        <v>37</v>
      </c>
      <c r="B13" t="s">
        <v>38</v>
      </c>
      <c r="C13" t="s">
        <v>31</v>
      </c>
      <c r="D13" s="2">
        <v>0.93798158258750364</v>
      </c>
      <c r="E13" s="2">
        <v>0.96790476218075405</v>
      </c>
      <c r="F13" s="2">
        <v>0.93224986492439821</v>
      </c>
      <c r="G13" s="2">
        <v>0.99712506270679735</v>
      </c>
      <c r="H13" s="2">
        <v>0.95835121497247833</v>
      </c>
      <c r="I13" s="2">
        <v>0.96789291804689215</v>
      </c>
      <c r="J13" s="2">
        <v>0.91146484636617808</v>
      </c>
      <c r="K13" s="2">
        <v>0.95183400264374218</v>
      </c>
      <c r="L13" s="2">
        <v>0.95188925506776478</v>
      </c>
      <c r="M13" s="2">
        <v>0.91581100909312807</v>
      </c>
      <c r="N13" s="2">
        <v>0.93378649108130563</v>
      </c>
      <c r="O13" s="2">
        <v>0.9609774972596401</v>
      </c>
      <c r="P13" s="2">
        <v>0.88459420064753214</v>
      </c>
      <c r="Q13" s="2">
        <v>0.94918318825840842</v>
      </c>
      <c r="R13" s="2">
        <v>0.92550926042461679</v>
      </c>
      <c r="S13" s="2">
        <v>0.92028411313376801</v>
      </c>
      <c r="T13" s="2">
        <v>0.93668199949373387</v>
      </c>
      <c r="U13" s="2">
        <v>0.9556248778946852</v>
      </c>
      <c r="V13" s="2">
        <v>0.94314390036307416</v>
      </c>
      <c r="W13" s="2">
        <v>0.91770995285359569</v>
      </c>
      <c r="X13" s="2">
        <f t="shared" si="0"/>
        <v>0.94099999999999961</v>
      </c>
      <c r="Y13" s="2">
        <f t="shared" si="4"/>
        <v>2.4999999999999998E-2</v>
      </c>
      <c r="Z13" s="2">
        <f t="shared" si="1"/>
        <v>2.6567481402763029</v>
      </c>
      <c r="AA13" s="2">
        <f t="shared" si="2"/>
        <v>0.88459420064753214</v>
      </c>
      <c r="AB13" s="2">
        <f t="shared" si="3"/>
        <v>0.99712506270679735</v>
      </c>
    </row>
    <row r="14" spans="1:28" x14ac:dyDescent="0.25">
      <c r="A14" t="s">
        <v>37</v>
      </c>
      <c r="B14" t="s">
        <v>38</v>
      </c>
      <c r="C14" t="s">
        <v>32</v>
      </c>
      <c r="D14" s="2">
        <v>5.6189725212255306</v>
      </c>
      <c r="E14" s="2">
        <v>6.0498594779091706</v>
      </c>
      <c r="F14" s="2">
        <v>6.2692922886349498</v>
      </c>
      <c r="G14" s="2">
        <v>6.3262162650872904</v>
      </c>
      <c r="H14" s="2">
        <v>5.7573514119982283</v>
      </c>
      <c r="I14" s="2">
        <v>6.1355757807310658</v>
      </c>
      <c r="J14" s="2">
        <v>6.1241006890948162</v>
      </c>
      <c r="K14" s="2">
        <v>5.9368766100681043</v>
      </c>
      <c r="L14" s="2">
        <v>5.9011200893007993</v>
      </c>
      <c r="M14" s="2">
        <v>6.2473026022275313</v>
      </c>
      <c r="N14" s="2">
        <v>5.9736689719581761</v>
      </c>
      <c r="O14" s="2">
        <v>5.93814007253716</v>
      </c>
      <c r="P14" s="2">
        <v>5.7464938203259379</v>
      </c>
      <c r="Q14" s="2">
        <v>5.6571661395855024</v>
      </c>
      <c r="R14" s="2">
        <v>6.1391332404158039</v>
      </c>
      <c r="S14" s="2">
        <v>5.9773616477656422</v>
      </c>
      <c r="T14" s="2">
        <v>5.9720173447119631</v>
      </c>
      <c r="U14" s="2">
        <v>5.9860677551559256</v>
      </c>
      <c r="V14" s="2">
        <v>5.9958646573936036</v>
      </c>
      <c r="W14" s="2">
        <v>6.0874186138728161</v>
      </c>
      <c r="X14" s="2">
        <f t="shared" si="0"/>
        <v>5.992</v>
      </c>
      <c r="Y14" s="2">
        <f t="shared" si="4"/>
        <v>0.19300000000000014</v>
      </c>
      <c r="Z14" s="2">
        <f t="shared" si="1"/>
        <v>3.2209612817089477</v>
      </c>
      <c r="AA14" s="2">
        <f t="shared" si="2"/>
        <v>5.6189725212255306</v>
      </c>
      <c r="AB14" s="2">
        <f t="shared" si="3"/>
        <v>6.3262162650872904</v>
      </c>
    </row>
    <row r="15" spans="1:28" x14ac:dyDescent="0.25">
      <c r="A15" t="s">
        <v>37</v>
      </c>
      <c r="B15" t="s">
        <v>38</v>
      </c>
      <c r="C15" t="s">
        <v>33</v>
      </c>
      <c r="D15" s="2">
        <v>0.88616035138646243</v>
      </c>
      <c r="E15" s="2">
        <v>0.87469684037572015</v>
      </c>
      <c r="F15" s="2">
        <v>0.88678645555183555</v>
      </c>
      <c r="G15" s="2">
        <v>0.88099012357403061</v>
      </c>
      <c r="H15" s="2">
        <v>0.88264290706516957</v>
      </c>
      <c r="I15" s="2">
        <v>0.87902117665474899</v>
      </c>
      <c r="J15" s="2">
        <v>0.87664436584906436</v>
      </c>
      <c r="K15" s="2">
        <v>0.87217026317065538</v>
      </c>
      <c r="L15" s="2">
        <v>0.87468861919967256</v>
      </c>
      <c r="M15" s="2">
        <v>0.87510008402342754</v>
      </c>
      <c r="N15" s="2">
        <v>0.88281447785949241</v>
      </c>
      <c r="O15" s="2">
        <v>0.8807652450636041</v>
      </c>
      <c r="P15" s="2">
        <v>0.88067335636672439</v>
      </c>
      <c r="Q15" s="2">
        <v>0.87640454648039612</v>
      </c>
      <c r="R15" s="2">
        <v>0.87931401096975226</v>
      </c>
      <c r="S15" s="2">
        <v>0.87702876142255037</v>
      </c>
      <c r="T15" s="2">
        <v>0.87838019335107631</v>
      </c>
      <c r="U15" s="2">
        <v>0.87777135157841335</v>
      </c>
      <c r="V15" s="2">
        <v>0.8746561759690058</v>
      </c>
      <c r="W15" s="2">
        <v>0.88329069408820016</v>
      </c>
      <c r="X15" s="2">
        <f t="shared" si="0"/>
        <v>0.87900000000000011</v>
      </c>
      <c r="Y15" s="2">
        <f t="shared" si="4"/>
        <v>4.000000000000001E-3</v>
      </c>
      <c r="Z15" s="2">
        <f t="shared" si="1"/>
        <v>0.45506257110352677</v>
      </c>
      <c r="AA15" s="2">
        <f t="shared" si="2"/>
        <v>0.87217026317065538</v>
      </c>
      <c r="AB15" s="2">
        <f t="shared" si="3"/>
        <v>0.88678645555183555</v>
      </c>
    </row>
    <row r="16" spans="1:28" x14ac:dyDescent="0.25">
      <c r="A16" t="s">
        <v>37</v>
      </c>
      <c r="B16" t="s">
        <v>38</v>
      </c>
      <c r="C16" t="s">
        <v>34</v>
      </c>
      <c r="D16" s="2">
        <v>0.10754194151983169</v>
      </c>
      <c r="E16" s="2">
        <v>9.4235715033477774E-2</v>
      </c>
      <c r="F16" s="2">
        <v>0.14369865007375421</v>
      </c>
      <c r="G16" s="2">
        <v>9.6581462699591905E-2</v>
      </c>
      <c r="H16" s="2">
        <v>0.1025092392849673</v>
      </c>
      <c r="I16" s="2">
        <v>0.12012036125870949</v>
      </c>
      <c r="J16" s="2">
        <v>0.1143663753961566</v>
      </c>
      <c r="K16" s="2">
        <v>9.0577664956902615E-2</v>
      </c>
      <c r="L16" s="2">
        <v>0.13440995980767459</v>
      </c>
      <c r="M16" s="2">
        <v>0.1182825984205353</v>
      </c>
      <c r="N16" s="2">
        <v>0.10662164411492089</v>
      </c>
      <c r="O16" s="2">
        <v>0.1173733732766508</v>
      </c>
      <c r="P16" s="2">
        <v>0.1040386428947679</v>
      </c>
      <c r="Q16" s="2">
        <v>0.1020203086528694</v>
      </c>
      <c r="R16" s="2">
        <v>0.1266245806921138</v>
      </c>
      <c r="S16" s="2">
        <v>0.12676855812967749</v>
      </c>
      <c r="T16" s="2">
        <v>0.1312904204937074</v>
      </c>
      <c r="U16" s="2">
        <v>0.10508883776562369</v>
      </c>
      <c r="V16" s="2">
        <v>8.715922719872525E-2</v>
      </c>
      <c r="W16" s="2">
        <v>9.0690438329341677E-2</v>
      </c>
      <c r="X16" s="2">
        <f t="shared" si="0"/>
        <v>0.11100000000000002</v>
      </c>
      <c r="Y16" s="2">
        <f t="shared" si="4"/>
        <v>1.5999999999999875E-2</v>
      </c>
      <c r="Z16" s="2">
        <f t="shared" si="1"/>
        <v>14.414414414414301</v>
      </c>
      <c r="AA16" s="2">
        <f t="shared" si="2"/>
        <v>8.715922719872525E-2</v>
      </c>
      <c r="AB16" s="2">
        <f t="shared" si="3"/>
        <v>0.14369865007375421</v>
      </c>
    </row>
    <row r="17" spans="1:28" x14ac:dyDescent="0.25">
      <c r="A17" t="s">
        <v>39</v>
      </c>
      <c r="B17" t="s">
        <v>40</v>
      </c>
      <c r="C17" t="s">
        <v>30</v>
      </c>
      <c r="D17" s="2">
        <v>0.65479815151826914</v>
      </c>
      <c r="E17" s="2">
        <v>0.67398074918106765</v>
      </c>
      <c r="F17" s="2">
        <v>0.63710757263739048</v>
      </c>
      <c r="G17" s="2">
        <v>0.68788503962729741</v>
      </c>
      <c r="H17" s="2">
        <v>0.69458122967328273</v>
      </c>
      <c r="I17" s="2">
        <v>0.67495139005990068</v>
      </c>
      <c r="J17" s="2">
        <v>0.65143578961254056</v>
      </c>
      <c r="K17" s="2">
        <v>0.69092830438841868</v>
      </c>
      <c r="L17" s="2">
        <v>0.66635161865260051</v>
      </c>
      <c r="M17" s="2">
        <v>0.67163623764538671</v>
      </c>
      <c r="N17" s="2">
        <v>0.63066079135345909</v>
      </c>
      <c r="O17" s="2">
        <v>0.6398241874411027</v>
      </c>
      <c r="P17" s="2">
        <v>0.6985312577843179</v>
      </c>
      <c r="Q17" s="2">
        <v>0.59553217527546032</v>
      </c>
      <c r="R17" s="2">
        <v>0.67275317315208583</v>
      </c>
      <c r="S17" s="2">
        <v>0.647000609318646</v>
      </c>
      <c r="T17" s="2">
        <v>0.63664791848342339</v>
      </c>
      <c r="U17" s="2">
        <v>0.62050745701685761</v>
      </c>
      <c r="V17" s="2">
        <v>0.67897061283333526</v>
      </c>
      <c r="W17" s="2">
        <v>0.65591573434515815</v>
      </c>
      <c r="X17" s="2">
        <f t="shared" si="0"/>
        <v>0.65900000000000003</v>
      </c>
      <c r="Y17" s="2">
        <f t="shared" si="4"/>
        <v>2.6999999999999979E-2</v>
      </c>
      <c r="Z17" s="2">
        <f t="shared" si="1"/>
        <v>4.0971168437025769</v>
      </c>
      <c r="AA17" s="2">
        <f t="shared" si="2"/>
        <v>0.59553217527546032</v>
      </c>
      <c r="AB17" s="2">
        <f t="shared" si="3"/>
        <v>0.6985312577843179</v>
      </c>
    </row>
    <row r="18" spans="1:28" x14ac:dyDescent="0.25">
      <c r="A18" t="s">
        <v>39</v>
      </c>
      <c r="B18" t="s">
        <v>40</v>
      </c>
      <c r="C18" t="s">
        <v>31</v>
      </c>
      <c r="D18" s="2">
        <v>0.86838036859285339</v>
      </c>
      <c r="E18" s="2">
        <v>0.82258890513845284</v>
      </c>
      <c r="F18" s="2">
        <v>0.8396728886028455</v>
      </c>
      <c r="G18" s="2">
        <v>0.89707385923601635</v>
      </c>
      <c r="H18" s="2">
        <v>0.94639039041909157</v>
      </c>
      <c r="I18" s="2">
        <v>0.85904405272554274</v>
      </c>
      <c r="J18" s="2">
        <v>0.85225661733481284</v>
      </c>
      <c r="K18" s="2">
        <v>0.94115871775243765</v>
      </c>
      <c r="L18" s="2">
        <v>0.86120839404876759</v>
      </c>
      <c r="M18" s="2">
        <v>0.87891264095691946</v>
      </c>
      <c r="N18" s="2">
        <v>0.86082926723254816</v>
      </c>
      <c r="O18" s="2">
        <v>0.87480962583095934</v>
      </c>
      <c r="P18" s="2">
        <v>0.91676839339157079</v>
      </c>
      <c r="Q18" s="2">
        <v>0.91836039886088106</v>
      </c>
      <c r="R18" s="2">
        <v>0.87155155883715552</v>
      </c>
      <c r="S18" s="2">
        <v>0.80811466421173117</v>
      </c>
      <c r="T18" s="2">
        <v>0.86447151616713414</v>
      </c>
      <c r="U18" s="2">
        <v>0.86002578645507921</v>
      </c>
      <c r="V18" s="2">
        <v>0.8762354451865475</v>
      </c>
      <c r="W18" s="2">
        <v>0.84214650901865351</v>
      </c>
      <c r="X18" s="2">
        <f t="shared" si="0"/>
        <v>0.873</v>
      </c>
      <c r="Y18" s="2">
        <f t="shared" si="4"/>
        <v>3.6000000000000004E-2</v>
      </c>
      <c r="Z18" s="2">
        <f t="shared" si="1"/>
        <v>4.123711340206186</v>
      </c>
      <c r="AA18" s="2">
        <f t="shared" si="2"/>
        <v>0.80811466421173117</v>
      </c>
      <c r="AB18" s="2">
        <f t="shared" si="3"/>
        <v>0.94639039041909157</v>
      </c>
    </row>
    <row r="19" spans="1:28" x14ac:dyDescent="0.25">
      <c r="A19" t="s">
        <v>39</v>
      </c>
      <c r="B19" t="s">
        <v>40</v>
      </c>
      <c r="C19" t="s">
        <v>32</v>
      </c>
      <c r="D19" s="2">
        <v>5.5821679429317062</v>
      </c>
      <c r="E19" s="2">
        <v>5.627173573955714</v>
      </c>
      <c r="F19" s="2">
        <v>5.3924800493934386</v>
      </c>
      <c r="G19" s="2">
        <v>5.3047692967511937</v>
      </c>
      <c r="H19" s="2">
        <v>5.5585412318456608</v>
      </c>
      <c r="I19" s="2">
        <v>5.8470416663919851</v>
      </c>
      <c r="J19" s="2">
        <v>5.3992802411847807</v>
      </c>
      <c r="K19" s="2">
        <v>5.7668771776470544</v>
      </c>
      <c r="L19" s="2">
        <v>5.3473890483811486</v>
      </c>
      <c r="M19" s="2">
        <v>5.772880044916425</v>
      </c>
      <c r="N19" s="2">
        <v>5.8956948923990158</v>
      </c>
      <c r="O19" s="2">
        <v>6.1145050172226894</v>
      </c>
      <c r="P19" s="2">
        <v>5.2253620163504424</v>
      </c>
      <c r="Q19" s="2">
        <v>5.2537833372846761</v>
      </c>
      <c r="R19" s="2">
        <v>5.2096950312363068</v>
      </c>
      <c r="S19" s="2">
        <v>5.609228886785175</v>
      </c>
      <c r="T19" s="2">
        <v>5.5805953883213224</v>
      </c>
      <c r="U19" s="2">
        <v>5.4494784890815051</v>
      </c>
      <c r="V19" s="2">
        <v>5.3441056309865704</v>
      </c>
      <c r="W19" s="2">
        <v>5.778951036933174</v>
      </c>
      <c r="X19" s="2">
        <f t="shared" si="0"/>
        <v>5.552999999999999</v>
      </c>
      <c r="Y19" s="2">
        <f t="shared" si="4"/>
        <v>0.25099999999999995</v>
      </c>
      <c r="Z19" s="2">
        <f t="shared" si="1"/>
        <v>4.5200792364487663</v>
      </c>
      <c r="AA19" s="2">
        <f t="shared" si="2"/>
        <v>5.2096950312363068</v>
      </c>
      <c r="AB19" s="2">
        <f t="shared" si="3"/>
        <v>6.1145050172226894</v>
      </c>
    </row>
    <row r="20" spans="1:28" x14ac:dyDescent="0.25">
      <c r="A20" t="s">
        <v>39</v>
      </c>
      <c r="B20" t="s">
        <v>40</v>
      </c>
      <c r="C20" t="s">
        <v>33</v>
      </c>
      <c r="D20" s="2">
        <v>0.88913838373811738</v>
      </c>
      <c r="E20" s="2">
        <v>0.88677130684132466</v>
      </c>
      <c r="F20" s="2">
        <v>0.88650686044343596</v>
      </c>
      <c r="G20" s="2">
        <v>0.89314232910904934</v>
      </c>
      <c r="H20" s="2">
        <v>0.88893775259407437</v>
      </c>
      <c r="I20" s="2">
        <v>0.8919637415883428</v>
      </c>
      <c r="J20" s="2">
        <v>0.88783471607125897</v>
      </c>
      <c r="K20" s="2">
        <v>0.89216385385004604</v>
      </c>
      <c r="L20" s="2">
        <v>0.88011512037254225</v>
      </c>
      <c r="M20" s="2">
        <v>0.88217604374705505</v>
      </c>
      <c r="N20" s="2">
        <v>0.88144096219666312</v>
      </c>
      <c r="O20" s="2">
        <v>0.88481172884086456</v>
      </c>
      <c r="P20" s="2">
        <v>0.89282525521071288</v>
      </c>
      <c r="Q20" s="2">
        <v>0.88268347253518087</v>
      </c>
      <c r="R20" s="2">
        <v>0.88185406821201051</v>
      </c>
      <c r="S20" s="2">
        <v>0.893550264550106</v>
      </c>
      <c r="T20" s="2">
        <v>0.88239155764685706</v>
      </c>
      <c r="U20" s="2">
        <v>0.89212276135984236</v>
      </c>
      <c r="V20" s="2">
        <v>0.89153168976489927</v>
      </c>
      <c r="W20" s="2">
        <v>0.87803813132761888</v>
      </c>
      <c r="X20" s="2">
        <f t="shared" si="0"/>
        <v>0.8869999999999999</v>
      </c>
      <c r="Y20" s="2">
        <f t="shared" si="4"/>
        <v>5.0000000000000001E-3</v>
      </c>
      <c r="Z20" s="2">
        <f t="shared" si="1"/>
        <v>0.56369785794813987</v>
      </c>
      <c r="AA20" s="2">
        <f t="shared" si="2"/>
        <v>0.87803813132761888</v>
      </c>
      <c r="AB20" s="2">
        <f t="shared" si="3"/>
        <v>0.893550264550106</v>
      </c>
    </row>
    <row r="21" spans="1:28" x14ac:dyDescent="0.25">
      <c r="A21" t="s">
        <v>39</v>
      </c>
      <c r="B21" t="s">
        <v>40</v>
      </c>
      <c r="C21" t="s">
        <v>34</v>
      </c>
      <c r="D21" s="2">
        <v>2.240351182224529E-2</v>
      </c>
      <c r="E21" s="2">
        <v>3.6516089622700428E-2</v>
      </c>
      <c r="F21" s="2">
        <v>4.0973807925431018E-2</v>
      </c>
      <c r="G21" s="2">
        <v>5.0401648599626953E-2</v>
      </c>
      <c r="H21" s="2">
        <v>3.0206353111959079E-2</v>
      </c>
      <c r="I21" s="2">
        <v>1.479097660944451E-2</v>
      </c>
      <c r="J21" s="2">
        <v>4.8511253332808903E-2</v>
      </c>
      <c r="K21" s="2">
        <v>1.8676968940313031E-2</v>
      </c>
      <c r="L21" s="2">
        <v>0.1006346077518475</v>
      </c>
      <c r="M21" s="2">
        <v>7.1491698705074283E-2</v>
      </c>
      <c r="N21" s="2">
        <v>3.3594937530822933E-2</v>
      </c>
      <c r="O21" s="2">
        <v>3.9513843950052772E-2</v>
      </c>
      <c r="P21" s="2">
        <v>3.3772777292423728E-2</v>
      </c>
      <c r="Q21" s="2">
        <v>1.738410676869975E-2</v>
      </c>
      <c r="R21" s="2">
        <v>3.0792270657473749E-2</v>
      </c>
      <c r="S21" s="2">
        <v>5.1506879445101433E-2</v>
      </c>
      <c r="T21" s="2">
        <v>3.55584848466017E-2</v>
      </c>
      <c r="U21" s="2">
        <v>1.294428458555593E-2</v>
      </c>
      <c r="V21" s="2">
        <v>5.4451487642844909E-2</v>
      </c>
      <c r="W21" s="2">
        <v>5.5874010858972152E-2</v>
      </c>
      <c r="X21" s="2">
        <f t="shared" si="0"/>
        <v>0.04</v>
      </c>
      <c r="Y21" s="2">
        <f t="shared" si="4"/>
        <v>2.0999999999999998E-2</v>
      </c>
      <c r="Z21" s="2">
        <f t="shared" si="1"/>
        <v>52.499999999999993</v>
      </c>
      <c r="AA21" s="2">
        <f t="shared" si="2"/>
        <v>1.294428458555593E-2</v>
      </c>
      <c r="AB21" s="2">
        <f t="shared" si="3"/>
        <v>0.1006346077518475</v>
      </c>
    </row>
    <row r="22" spans="1:28" x14ac:dyDescent="0.25">
      <c r="A22" t="s">
        <v>41</v>
      </c>
      <c r="B22" t="s">
        <v>42</v>
      </c>
      <c r="C22" t="s">
        <v>30</v>
      </c>
      <c r="D22" s="2">
        <v>0.62613349351326886</v>
      </c>
      <c r="E22" s="2">
        <v>0.6082786804652518</v>
      </c>
      <c r="F22" s="2">
        <v>0.63332331695431854</v>
      </c>
      <c r="G22" s="2">
        <v>0.56737521364093502</v>
      </c>
      <c r="H22" s="2">
        <v>0.58230321734871471</v>
      </c>
      <c r="I22" s="2">
        <v>0.64225531178788298</v>
      </c>
      <c r="J22" s="2">
        <v>0.58677472071701287</v>
      </c>
      <c r="K22" s="2">
        <v>0.60317753091252235</v>
      </c>
      <c r="L22" s="2">
        <v>0.57609576013311425</v>
      </c>
      <c r="M22" s="2">
        <v>0.62168379140245456</v>
      </c>
      <c r="N22" s="2">
        <v>0.61485815143763545</v>
      </c>
      <c r="O22" s="2">
        <v>0.59114271009560593</v>
      </c>
      <c r="P22" s="2">
        <v>0.61683430593211919</v>
      </c>
      <c r="Q22" s="2">
        <v>0.61947918244471134</v>
      </c>
      <c r="R22" s="2">
        <v>0.59174738073863142</v>
      </c>
      <c r="S22" s="2">
        <v>0.59368195048306527</v>
      </c>
      <c r="T22" s="2">
        <v>0.59071825722631877</v>
      </c>
      <c r="U22" s="2">
        <v>0.61277213276169118</v>
      </c>
      <c r="V22" s="2">
        <v>0.59489007319183462</v>
      </c>
      <c r="W22" s="2">
        <v>0.5864748188129103</v>
      </c>
      <c r="X22" s="2">
        <f t="shared" si="0"/>
        <v>0.60299999999999998</v>
      </c>
      <c r="Y22" s="2">
        <f t="shared" si="4"/>
        <v>0.02</v>
      </c>
      <c r="Z22" s="2">
        <f t="shared" si="1"/>
        <v>3.3167495854063018</v>
      </c>
      <c r="AA22" s="2">
        <f t="shared" si="2"/>
        <v>0.56737521364093502</v>
      </c>
      <c r="AB22" s="2">
        <f t="shared" si="3"/>
        <v>0.64225531178788298</v>
      </c>
    </row>
    <row r="23" spans="1:28" x14ac:dyDescent="0.25">
      <c r="A23" t="s">
        <v>41</v>
      </c>
      <c r="B23" t="s">
        <v>42</v>
      </c>
      <c r="C23" t="s">
        <v>31</v>
      </c>
      <c r="D23" s="2">
        <v>0.75267677931043409</v>
      </c>
      <c r="E23" s="2">
        <v>0.79265496564901405</v>
      </c>
      <c r="F23" s="2">
        <v>0.81587126043884894</v>
      </c>
      <c r="G23" s="2">
        <v>0.78264490921188157</v>
      </c>
      <c r="H23" s="2">
        <v>0.81972805483537892</v>
      </c>
      <c r="I23" s="2">
        <v>0.76241203972232396</v>
      </c>
      <c r="J23" s="2">
        <v>0.85220470722304142</v>
      </c>
      <c r="K23" s="2">
        <v>0.82938939481707918</v>
      </c>
      <c r="L23" s="2">
        <v>0.81172426499950689</v>
      </c>
      <c r="M23" s="2">
        <v>0.81579149917451699</v>
      </c>
      <c r="N23" s="2">
        <v>0.77902697598071891</v>
      </c>
      <c r="O23" s="2">
        <v>0.80148947161316342</v>
      </c>
      <c r="P23" s="2">
        <v>0.78194767035458401</v>
      </c>
      <c r="Q23" s="2">
        <v>0.82494346502046345</v>
      </c>
      <c r="R23" s="2">
        <v>0.78260216965563734</v>
      </c>
      <c r="S23" s="2">
        <v>0.81100814359179429</v>
      </c>
      <c r="T23" s="2">
        <v>0.80536131723540805</v>
      </c>
      <c r="U23" s="2">
        <v>0.77867926734390802</v>
      </c>
      <c r="V23" s="2">
        <v>0.76420360436779566</v>
      </c>
      <c r="W23" s="2">
        <v>0.75564003945450375</v>
      </c>
      <c r="X23" s="2">
        <f t="shared" si="0"/>
        <v>0.79600000000000004</v>
      </c>
      <c r="Y23" s="2">
        <f t="shared" si="4"/>
        <v>2.7E-2</v>
      </c>
      <c r="Z23" s="2">
        <f t="shared" si="1"/>
        <v>3.391959798994975</v>
      </c>
      <c r="AA23" s="2">
        <f t="shared" si="2"/>
        <v>0.75267677931043409</v>
      </c>
      <c r="AB23" s="2">
        <f t="shared" si="3"/>
        <v>0.85220470722304142</v>
      </c>
    </row>
    <row r="24" spans="1:28" x14ac:dyDescent="0.25">
      <c r="A24" t="s">
        <v>41</v>
      </c>
      <c r="B24" t="s">
        <v>42</v>
      </c>
      <c r="C24" t="s">
        <v>32</v>
      </c>
      <c r="D24" s="2">
        <v>4.9938013276918571</v>
      </c>
      <c r="E24" s="2">
        <v>4.8843817748954903</v>
      </c>
      <c r="F24" s="2">
        <v>5.2398303179100614</v>
      </c>
      <c r="G24" s="2">
        <v>5.310630325024321</v>
      </c>
      <c r="H24" s="2">
        <v>5.2431920635072977</v>
      </c>
      <c r="I24" s="2">
        <v>5.1357731623518532</v>
      </c>
      <c r="J24" s="2">
        <v>5.064403652674387</v>
      </c>
      <c r="K24" s="2">
        <v>5.0700678315799248</v>
      </c>
      <c r="L24" s="2">
        <v>5.1379479052395727</v>
      </c>
      <c r="M24" s="2">
        <v>4.9223600126873546</v>
      </c>
      <c r="N24" s="2">
        <v>4.9155842946640123</v>
      </c>
      <c r="O24" s="2">
        <v>5.3267632943260086</v>
      </c>
      <c r="P24" s="2">
        <v>5.0975320904486194</v>
      </c>
      <c r="Q24" s="2">
        <v>5.1220300632363749</v>
      </c>
      <c r="R24" s="2">
        <v>5.2659105167894866</v>
      </c>
      <c r="S24" s="2">
        <v>4.8412309113527394</v>
      </c>
      <c r="T24" s="2">
        <v>4.9509733154879134</v>
      </c>
      <c r="U24" s="2">
        <v>5.2801396376832086</v>
      </c>
      <c r="V24" s="2">
        <v>4.9593861444989864</v>
      </c>
      <c r="W24" s="2">
        <v>5.4980613579505544</v>
      </c>
      <c r="X24" s="2">
        <f t="shared" si="0"/>
        <v>5.1130000000000022</v>
      </c>
      <c r="Y24" s="2">
        <f t="shared" si="4"/>
        <v>0.17599999999999988</v>
      </c>
      <c r="Z24" s="2">
        <f t="shared" si="1"/>
        <v>3.44220614120868</v>
      </c>
      <c r="AA24" s="2">
        <f t="shared" si="2"/>
        <v>4.8412309113527394</v>
      </c>
      <c r="AB24" s="2">
        <f t="shared" si="3"/>
        <v>5.4980613579505544</v>
      </c>
    </row>
    <row r="25" spans="1:28" x14ac:dyDescent="0.25">
      <c r="A25" t="s">
        <v>41</v>
      </c>
      <c r="B25" t="s">
        <v>42</v>
      </c>
      <c r="C25" t="s">
        <v>33</v>
      </c>
      <c r="D25" s="2">
        <v>0.89290124678266936</v>
      </c>
      <c r="E25" s="2">
        <v>0.88692184506537275</v>
      </c>
      <c r="F25" s="2">
        <v>0.90627944143127903</v>
      </c>
      <c r="G25" s="2">
        <v>0.90115312629182043</v>
      </c>
      <c r="H25" s="2">
        <v>0.89725339530146897</v>
      </c>
      <c r="I25" s="2">
        <v>0.89402809161308461</v>
      </c>
      <c r="J25" s="2">
        <v>0.90154634403345779</v>
      </c>
      <c r="K25" s="2">
        <v>0.89266336684734604</v>
      </c>
      <c r="L25" s="2">
        <v>0.89821968322968382</v>
      </c>
      <c r="M25" s="2">
        <v>0.89695801059565727</v>
      </c>
      <c r="N25" s="2">
        <v>0.90288178848529332</v>
      </c>
      <c r="O25" s="2">
        <v>0.90232463507658067</v>
      </c>
      <c r="P25" s="2">
        <v>0.8993172079724796</v>
      </c>
      <c r="Q25" s="2">
        <v>0.90381402089311569</v>
      </c>
      <c r="R25" s="2">
        <v>0.89009268417061693</v>
      </c>
      <c r="S25" s="2">
        <v>0.89834466130947666</v>
      </c>
      <c r="T25" s="2">
        <v>0.90362491854996962</v>
      </c>
      <c r="U25" s="2">
        <v>0.89434943808064826</v>
      </c>
      <c r="V25" s="2">
        <v>0.8998249300824237</v>
      </c>
      <c r="W25" s="2">
        <v>0.89750116418755599</v>
      </c>
      <c r="X25" s="2">
        <f t="shared" si="0"/>
        <v>0.89800000000000002</v>
      </c>
      <c r="Y25" s="2">
        <f t="shared" si="4"/>
        <v>4.9999999999999854E-3</v>
      </c>
      <c r="Z25" s="2">
        <f t="shared" si="1"/>
        <v>0.55679287305122327</v>
      </c>
      <c r="AA25" s="2">
        <f t="shared" si="2"/>
        <v>0.88692184506537275</v>
      </c>
      <c r="AB25" s="2">
        <f t="shared" si="3"/>
        <v>0.90627944143127903</v>
      </c>
    </row>
    <row r="26" spans="1:28" x14ac:dyDescent="0.25">
      <c r="A26" t="s">
        <v>41</v>
      </c>
      <c r="B26" t="s">
        <v>42</v>
      </c>
      <c r="C26" t="s">
        <v>34</v>
      </c>
      <c r="D26" s="2">
        <v>-4.5378072166765218E-2</v>
      </c>
      <c r="E26" s="2">
        <v>-4.9537569848763799E-2</v>
      </c>
      <c r="F26" s="2">
        <v>-5.0219470282665608E-2</v>
      </c>
      <c r="G26" s="2">
        <v>-8.8082070149032243E-2</v>
      </c>
      <c r="H26" s="2">
        <v>-4.1041390554719857E-2</v>
      </c>
      <c r="I26" s="2">
        <v>-6.0474608424414322E-2</v>
      </c>
      <c r="J26" s="2">
        <v>-3.55687173325063E-2</v>
      </c>
      <c r="K26" s="2">
        <v>-4.6849793368462581E-2</v>
      </c>
      <c r="L26" s="2">
        <v>-6.4253426339012695E-2</v>
      </c>
      <c r="M26" s="2">
        <v>-4.5045061679102411E-2</v>
      </c>
      <c r="N26" s="2">
        <v>-5.0717008726077817E-2</v>
      </c>
      <c r="O26" s="2">
        <v>-7.770044791061835E-2</v>
      </c>
      <c r="P26" s="2">
        <v>-5.5945780785266477E-2</v>
      </c>
      <c r="Q26" s="2">
        <v>-6.8931157806616752E-2</v>
      </c>
      <c r="R26" s="2">
        <v>-3.5229333419522182E-2</v>
      </c>
      <c r="S26" s="2">
        <v>-5.5700062533117337E-2</v>
      </c>
      <c r="T26" s="2">
        <v>-5.0356378707713222E-2</v>
      </c>
      <c r="U26" s="2">
        <v>-7.7598718735618799E-2</v>
      </c>
      <c r="V26" s="2">
        <v>-6.3278352724086911E-2</v>
      </c>
      <c r="W26" s="2">
        <v>-9.8092578505917155E-2</v>
      </c>
      <c r="X26" s="2">
        <f t="shared" si="0"/>
        <v>-5.800000000000001E-2</v>
      </c>
      <c r="Y26" s="2">
        <f t="shared" si="4"/>
        <v>1.6999999999999973E-2</v>
      </c>
      <c r="Z26" s="2">
        <f t="shared" si="1"/>
        <v>29.310344827586153</v>
      </c>
      <c r="AA26" s="2">
        <f t="shared" si="2"/>
        <v>-9.8092578505917155E-2</v>
      </c>
      <c r="AB26" s="2">
        <f t="shared" si="3"/>
        <v>-3.5229333419522182E-2</v>
      </c>
    </row>
    <row r="27" spans="1:28" x14ac:dyDescent="0.25">
      <c r="A27" t="s">
        <v>43</v>
      </c>
      <c r="B27" t="s">
        <v>44</v>
      </c>
      <c r="C27" t="s">
        <v>30</v>
      </c>
      <c r="D27" s="2">
        <v>0.56320006453391813</v>
      </c>
      <c r="E27" s="2">
        <v>0.53009284420110581</v>
      </c>
      <c r="F27" s="2">
        <v>0.55987404448390266</v>
      </c>
      <c r="G27" s="2">
        <v>0.5389107503885413</v>
      </c>
      <c r="H27" s="2">
        <v>0.54434437512154077</v>
      </c>
      <c r="I27" s="2">
        <v>0.55827628393235906</v>
      </c>
      <c r="J27" s="2">
        <v>0.5455243095911031</v>
      </c>
      <c r="K27" s="2">
        <v>0.56699052757402724</v>
      </c>
      <c r="L27" s="2">
        <v>0.5436669656204085</v>
      </c>
      <c r="M27" s="2">
        <v>0.52515801321117672</v>
      </c>
      <c r="N27" s="2">
        <v>0.51669149710311613</v>
      </c>
      <c r="O27" s="2">
        <v>0.56897592472743985</v>
      </c>
      <c r="P27" s="2">
        <v>0.54248051132707997</v>
      </c>
      <c r="Q27" s="2">
        <v>0.55422530786121882</v>
      </c>
      <c r="R27" s="2">
        <v>0.57302171584874362</v>
      </c>
      <c r="S27" s="2">
        <v>0.54938224108234068</v>
      </c>
      <c r="T27" s="2">
        <v>0.5320488682128055</v>
      </c>
      <c r="U27" s="2">
        <v>0.54396817879035975</v>
      </c>
      <c r="V27" s="2">
        <v>0.54612443918625042</v>
      </c>
      <c r="W27" s="2">
        <v>0.5570431372025606</v>
      </c>
      <c r="X27" s="2">
        <f t="shared" si="0"/>
        <v>0.54799999999999993</v>
      </c>
      <c r="Y27" s="2">
        <f t="shared" si="4"/>
        <v>1.5000000000000005E-2</v>
      </c>
      <c r="Z27" s="2">
        <f t="shared" si="1"/>
        <v>2.737226277372264</v>
      </c>
      <c r="AA27" s="2">
        <f t="shared" si="2"/>
        <v>0.51669149710311613</v>
      </c>
      <c r="AB27" s="2">
        <f t="shared" si="3"/>
        <v>0.57302171584874362</v>
      </c>
    </row>
    <row r="28" spans="1:28" x14ac:dyDescent="0.25">
      <c r="A28" t="s">
        <v>43</v>
      </c>
      <c r="B28" t="s">
        <v>44</v>
      </c>
      <c r="C28" t="s">
        <v>31</v>
      </c>
      <c r="D28" s="2">
        <v>0.77676075249238985</v>
      </c>
      <c r="E28" s="2">
        <v>0.70979394496698911</v>
      </c>
      <c r="F28" s="2">
        <v>0.7148318981877575</v>
      </c>
      <c r="G28" s="2">
        <v>0.71993792484228869</v>
      </c>
      <c r="H28" s="2">
        <v>0.72174715094277053</v>
      </c>
      <c r="I28" s="2">
        <v>0.68217613749722383</v>
      </c>
      <c r="J28" s="2">
        <v>0.74574745417274968</v>
      </c>
      <c r="K28" s="2">
        <v>0.72850118491206395</v>
      </c>
      <c r="L28" s="2">
        <v>0.71791139647329738</v>
      </c>
      <c r="M28" s="2">
        <v>0.73649564390577704</v>
      </c>
      <c r="N28" s="2">
        <v>0.72377000868530528</v>
      </c>
      <c r="O28" s="2">
        <v>0.74503110164094855</v>
      </c>
      <c r="P28" s="2">
        <v>0.75008685954788679</v>
      </c>
      <c r="Q28" s="2">
        <v>0.73025621338808855</v>
      </c>
      <c r="R28" s="2">
        <v>0.6966637004017795</v>
      </c>
      <c r="S28" s="2">
        <v>0.72088874263420288</v>
      </c>
      <c r="T28" s="2">
        <v>0.70992572258538045</v>
      </c>
      <c r="U28" s="2">
        <v>0.74102396719717667</v>
      </c>
      <c r="V28" s="2">
        <v>0.68872946980663885</v>
      </c>
      <c r="W28" s="2">
        <v>0.7197207257192848</v>
      </c>
      <c r="X28" s="2">
        <f t="shared" si="0"/>
        <v>0.72399999999999998</v>
      </c>
      <c r="Y28" s="2">
        <f t="shared" si="4"/>
        <v>2.1999999999999999E-2</v>
      </c>
      <c r="Z28" s="2">
        <f t="shared" si="1"/>
        <v>3.0386740331491713</v>
      </c>
      <c r="AA28" s="2">
        <f t="shared" si="2"/>
        <v>0.68217613749722383</v>
      </c>
      <c r="AB28" s="2">
        <f t="shared" si="3"/>
        <v>0.77676075249238985</v>
      </c>
    </row>
    <row r="29" spans="1:28" x14ac:dyDescent="0.25">
      <c r="A29" t="s">
        <v>43</v>
      </c>
      <c r="B29" t="s">
        <v>44</v>
      </c>
      <c r="C29" t="s">
        <v>32</v>
      </c>
      <c r="D29" s="2">
        <v>4.8095033328406007</v>
      </c>
      <c r="E29" s="2">
        <v>4.6796847274290174</v>
      </c>
      <c r="F29" s="2">
        <v>4.7465038175137026</v>
      </c>
      <c r="G29" s="2">
        <v>4.530939362408092</v>
      </c>
      <c r="H29" s="2">
        <v>4.7510720806683873</v>
      </c>
      <c r="I29" s="2">
        <v>4.5245612895032643</v>
      </c>
      <c r="J29" s="2">
        <v>4.5655379574303288</v>
      </c>
      <c r="K29" s="2">
        <v>4.7588750764945411</v>
      </c>
      <c r="L29" s="2">
        <v>4.6219174730183088</v>
      </c>
      <c r="M29" s="2">
        <v>4.8630158744137484</v>
      </c>
      <c r="N29" s="2">
        <v>4.6303049937800278</v>
      </c>
      <c r="O29" s="2">
        <v>4.590926354857773</v>
      </c>
      <c r="P29" s="2">
        <v>4.5143023948313434</v>
      </c>
      <c r="Q29" s="2">
        <v>4.7744647719290931</v>
      </c>
      <c r="R29" s="2">
        <v>4.5816730469074756</v>
      </c>
      <c r="S29" s="2">
        <v>4.5459408323798778</v>
      </c>
      <c r="T29" s="2">
        <v>4.4833716900412321</v>
      </c>
      <c r="U29" s="2">
        <v>4.5239275025970196</v>
      </c>
      <c r="V29" s="2">
        <v>4.1595181853917058</v>
      </c>
      <c r="W29" s="2">
        <v>4.4639592355644568</v>
      </c>
      <c r="X29" s="2">
        <f t="shared" si="0"/>
        <v>4.6059999999999999</v>
      </c>
      <c r="Y29" s="2">
        <f t="shared" si="4"/>
        <v>0.15800000000000003</v>
      </c>
      <c r="Z29" s="2">
        <f t="shared" si="1"/>
        <v>3.4303082935301785</v>
      </c>
      <c r="AA29" s="2">
        <f t="shared" si="2"/>
        <v>4.1595181853917058</v>
      </c>
      <c r="AB29" s="2">
        <f t="shared" si="3"/>
        <v>4.8630158744137484</v>
      </c>
    </row>
    <row r="30" spans="1:28" x14ac:dyDescent="0.25">
      <c r="A30" t="s">
        <v>43</v>
      </c>
      <c r="B30" t="s">
        <v>44</v>
      </c>
      <c r="C30" t="s">
        <v>33</v>
      </c>
      <c r="D30" s="2">
        <v>0.90586984399349946</v>
      </c>
      <c r="E30" s="2">
        <v>0.90858442142424467</v>
      </c>
      <c r="F30" s="2">
        <v>0.90313012663454773</v>
      </c>
      <c r="G30" s="2">
        <v>0.91057171018902383</v>
      </c>
      <c r="H30" s="2">
        <v>0.90490210121707504</v>
      </c>
      <c r="I30" s="2">
        <v>0.91035539813577393</v>
      </c>
      <c r="J30" s="2">
        <v>0.90930499817020405</v>
      </c>
      <c r="K30" s="2">
        <v>0.90177238791851599</v>
      </c>
      <c r="L30" s="2">
        <v>0.91138692841554703</v>
      </c>
      <c r="M30" s="2">
        <v>0.90635715234048175</v>
      </c>
      <c r="N30" s="2">
        <v>0.91263407606891966</v>
      </c>
      <c r="O30" s="2">
        <v>0.90162833802365683</v>
      </c>
      <c r="P30" s="2">
        <v>0.90699970044367162</v>
      </c>
      <c r="Q30" s="2">
        <v>0.90205518592135558</v>
      </c>
      <c r="R30" s="2">
        <v>0.90370972399282035</v>
      </c>
      <c r="S30" s="2">
        <v>0.90759393582466563</v>
      </c>
      <c r="T30" s="2">
        <v>0.90558011488767209</v>
      </c>
      <c r="U30" s="2">
        <v>0.91535917690328517</v>
      </c>
      <c r="V30" s="2">
        <v>0.90193165754758975</v>
      </c>
      <c r="W30" s="2">
        <v>0.91027302194744608</v>
      </c>
      <c r="X30" s="2">
        <f t="shared" si="0"/>
        <v>0.9069999999999997</v>
      </c>
      <c r="Y30" s="2">
        <f t="shared" si="4"/>
        <v>4.000000000000007E-3</v>
      </c>
      <c r="Z30" s="2">
        <f t="shared" si="1"/>
        <v>0.44101433296582238</v>
      </c>
      <c r="AA30" s="2">
        <f t="shared" si="2"/>
        <v>0.90162833802365683</v>
      </c>
      <c r="AB30" s="2">
        <f t="shared" si="3"/>
        <v>0.91535917690328517</v>
      </c>
    </row>
    <row r="31" spans="1:28" x14ac:dyDescent="0.25">
      <c r="A31" t="s">
        <v>43</v>
      </c>
      <c r="B31" t="s">
        <v>44</v>
      </c>
      <c r="C31" t="s">
        <v>34</v>
      </c>
      <c r="D31" s="2">
        <v>-0.1519884964628973</v>
      </c>
      <c r="E31" s="2">
        <v>-0.17259523600873311</v>
      </c>
      <c r="F31" s="2">
        <v>-0.14816678492005311</v>
      </c>
      <c r="G31" s="2">
        <v>-0.1382184755340663</v>
      </c>
      <c r="H31" s="2">
        <v>-0.144494746095534</v>
      </c>
      <c r="I31" s="2">
        <v>-0.148065911912136</v>
      </c>
      <c r="J31" s="2">
        <v>-0.1428725831745396</v>
      </c>
      <c r="K31" s="2">
        <v>-0.18822977688021861</v>
      </c>
      <c r="L31" s="2">
        <v>-0.16149279810091011</v>
      </c>
      <c r="M31" s="2">
        <v>-0.15562017151784019</v>
      </c>
      <c r="N31" s="2">
        <v>-0.14626368087947489</v>
      </c>
      <c r="O31" s="2">
        <v>-0.1580525051771017</v>
      </c>
      <c r="P31" s="2">
        <v>-0.14340910961532691</v>
      </c>
      <c r="Q31" s="2">
        <v>-0.15059150964221429</v>
      </c>
      <c r="R31" s="2">
        <v>-0.156360863266165</v>
      </c>
      <c r="S31" s="2">
        <v>-0.15111388108226059</v>
      </c>
      <c r="T31" s="2">
        <v>-0.13936330248332479</v>
      </c>
      <c r="U31" s="2">
        <v>-0.14336285613947641</v>
      </c>
      <c r="V31" s="2">
        <v>-0.1268777397807983</v>
      </c>
      <c r="W31" s="2">
        <v>-0.15285957132692871</v>
      </c>
      <c r="X31" s="2">
        <f t="shared" si="0"/>
        <v>-0.151</v>
      </c>
      <c r="Y31" s="2">
        <f t="shared" si="4"/>
        <v>1.3000000000000003E-2</v>
      </c>
      <c r="Z31" s="2">
        <f t="shared" si="1"/>
        <v>8.6092715231788102</v>
      </c>
      <c r="AA31" s="2">
        <f t="shared" si="2"/>
        <v>-0.18822977688021861</v>
      </c>
      <c r="AB31" s="2">
        <f t="shared" si="3"/>
        <v>-0.1268777397807983</v>
      </c>
    </row>
    <row r="32" spans="1:28" x14ac:dyDescent="0.25">
      <c r="A32" t="s">
        <v>45</v>
      </c>
      <c r="B32" t="s">
        <v>45</v>
      </c>
      <c r="C32" t="s">
        <v>30</v>
      </c>
      <c r="D32" s="2">
        <v>0.49867084889994551</v>
      </c>
      <c r="E32" s="2">
        <v>0.48458729870739309</v>
      </c>
      <c r="F32" s="2">
        <v>0.48897722165035162</v>
      </c>
      <c r="G32" s="2">
        <v>0.50301703454149316</v>
      </c>
      <c r="H32" s="2">
        <v>0.51505797326473679</v>
      </c>
      <c r="I32" s="2">
        <v>0.47068521782140321</v>
      </c>
      <c r="J32" s="2">
        <v>0.52509934507602407</v>
      </c>
      <c r="K32" s="2">
        <v>0.51460474832189307</v>
      </c>
      <c r="L32" s="2">
        <v>0.49640160082700052</v>
      </c>
      <c r="M32" s="2">
        <v>0.50791759188124963</v>
      </c>
      <c r="N32" s="2">
        <v>0.51174653845241291</v>
      </c>
      <c r="O32" s="2">
        <v>0.47775497647443388</v>
      </c>
      <c r="P32" s="2">
        <v>0.49721224891422749</v>
      </c>
      <c r="Q32" s="2">
        <v>0.48712154181067369</v>
      </c>
      <c r="R32" s="2">
        <v>0.47851003399245978</v>
      </c>
      <c r="S32" s="2">
        <v>0.49474759828898379</v>
      </c>
      <c r="T32" s="2">
        <v>0.5109654221095028</v>
      </c>
      <c r="U32" s="2">
        <v>0.54654914982161029</v>
      </c>
      <c r="V32" s="2">
        <v>0.48647434408251161</v>
      </c>
      <c r="W32" s="2">
        <v>0.50389926506169314</v>
      </c>
      <c r="X32" s="2">
        <f t="shared" si="0"/>
        <v>0.5</v>
      </c>
      <c r="Y32" s="2">
        <f t="shared" si="4"/>
        <v>1.7999999999999988E-2</v>
      </c>
      <c r="Z32" s="2">
        <f t="shared" si="1"/>
        <v>3.5999999999999979</v>
      </c>
      <c r="AA32" s="2">
        <f t="shared" si="2"/>
        <v>0.47068521782140321</v>
      </c>
      <c r="AB32" s="2">
        <f t="shared" si="3"/>
        <v>0.54654914982161029</v>
      </c>
    </row>
    <row r="33" spans="1:28" x14ac:dyDescent="0.25">
      <c r="A33" t="s">
        <v>45</v>
      </c>
      <c r="B33" t="s">
        <v>45</v>
      </c>
      <c r="C33" t="s">
        <v>31</v>
      </c>
      <c r="D33" s="2">
        <v>0.66552176498346705</v>
      </c>
      <c r="E33" s="2">
        <v>0.61268800239531196</v>
      </c>
      <c r="F33" s="2">
        <v>0.67361187763029617</v>
      </c>
      <c r="G33" s="2">
        <v>0.64663619800637473</v>
      </c>
      <c r="H33" s="2">
        <v>0.68315092373585851</v>
      </c>
      <c r="I33" s="2">
        <v>0.67785456725132887</v>
      </c>
      <c r="J33" s="2">
        <v>0.65765891597445314</v>
      </c>
      <c r="K33" s="2">
        <v>0.69774240152959954</v>
      </c>
      <c r="L33" s="2">
        <v>0.68813336842863992</v>
      </c>
      <c r="M33" s="2">
        <v>0.68888131047684931</v>
      </c>
      <c r="N33" s="2">
        <v>0.67156151074866521</v>
      </c>
      <c r="O33" s="2">
        <v>0.63418563661639493</v>
      </c>
      <c r="P33" s="2">
        <v>0.66799462218464178</v>
      </c>
      <c r="Q33" s="2">
        <v>0.64585144907692693</v>
      </c>
      <c r="R33" s="2">
        <v>0.67073736518987115</v>
      </c>
      <c r="S33" s="2">
        <v>0.6302001418497154</v>
      </c>
      <c r="T33" s="2">
        <v>0.63724205141264489</v>
      </c>
      <c r="U33" s="2">
        <v>0.65319194567161021</v>
      </c>
      <c r="V33" s="2">
        <v>0.6628842250342718</v>
      </c>
      <c r="W33" s="2">
        <v>0.65427172180307924</v>
      </c>
      <c r="X33" s="2">
        <f t="shared" si="0"/>
        <v>0.66100000000000014</v>
      </c>
      <c r="Y33" s="2">
        <f t="shared" si="4"/>
        <v>2.1999999999999992E-2</v>
      </c>
      <c r="Z33" s="2">
        <f t="shared" si="1"/>
        <v>3.3282904689863821</v>
      </c>
      <c r="AA33" s="2">
        <f t="shared" si="2"/>
        <v>0.61268800239531196</v>
      </c>
      <c r="AB33" s="2">
        <f t="shared" si="3"/>
        <v>0.69774240152959954</v>
      </c>
    </row>
    <row r="34" spans="1:28" x14ac:dyDescent="0.25">
      <c r="A34" t="s">
        <v>45</v>
      </c>
      <c r="B34" t="s">
        <v>45</v>
      </c>
      <c r="C34" t="s">
        <v>32</v>
      </c>
      <c r="D34" s="2">
        <v>4.266673828783806</v>
      </c>
      <c r="E34" s="2">
        <v>4.1633930010828148</v>
      </c>
      <c r="F34" s="2">
        <v>4.0351557384817571</v>
      </c>
      <c r="G34" s="2">
        <v>4.0970376082067839</v>
      </c>
      <c r="H34" s="2">
        <v>4.4188151936168039</v>
      </c>
      <c r="I34" s="2">
        <v>4.0372250428003591</v>
      </c>
      <c r="J34" s="2">
        <v>4.2829183844211958</v>
      </c>
      <c r="K34" s="2">
        <v>4.4629269165005203</v>
      </c>
      <c r="L34" s="2">
        <v>4.1557839691727763</v>
      </c>
      <c r="M34" s="2">
        <v>4.3611268151994391</v>
      </c>
      <c r="N34" s="2">
        <v>4.0910742176006742</v>
      </c>
      <c r="O34" s="2">
        <v>4.2180329103555207</v>
      </c>
      <c r="P34" s="2">
        <v>4.3086472259860091</v>
      </c>
      <c r="Q34" s="2">
        <v>4.4550028318852801</v>
      </c>
      <c r="R34" s="2">
        <v>4.0998256692976467</v>
      </c>
      <c r="S34" s="2">
        <v>4.0827563699980249</v>
      </c>
      <c r="T34" s="2">
        <v>4.3858590100002468</v>
      </c>
      <c r="U34" s="2">
        <v>3.912017797606083</v>
      </c>
      <c r="V34" s="2">
        <v>4.4986157064345766</v>
      </c>
      <c r="W34" s="2">
        <v>4.1671117625696734</v>
      </c>
      <c r="X34" s="2">
        <f t="shared" si="0"/>
        <v>4.2249999999999996</v>
      </c>
      <c r="Y34" s="2">
        <f t="shared" si="4"/>
        <v>0.16700000000000007</v>
      </c>
      <c r="Z34" s="2">
        <f t="shared" si="1"/>
        <v>3.9526627218934927</v>
      </c>
      <c r="AA34" s="2">
        <f t="shared" si="2"/>
        <v>3.912017797606083</v>
      </c>
      <c r="AB34" s="2">
        <f t="shared" si="3"/>
        <v>4.4986157064345766</v>
      </c>
    </row>
    <row r="35" spans="1:28" x14ac:dyDescent="0.25">
      <c r="A35" t="s">
        <v>45</v>
      </c>
      <c r="B35" t="s">
        <v>45</v>
      </c>
      <c r="C35" t="s">
        <v>33</v>
      </c>
      <c r="D35" s="2">
        <v>0.91045963164645261</v>
      </c>
      <c r="E35" s="2">
        <v>0.90961020363983058</v>
      </c>
      <c r="F35" s="2">
        <v>0.91913320439013668</v>
      </c>
      <c r="G35" s="2">
        <v>0.92513543460747982</v>
      </c>
      <c r="H35" s="2">
        <v>0.91473700145317327</v>
      </c>
      <c r="I35" s="2">
        <v>0.91614183636961566</v>
      </c>
      <c r="J35" s="2">
        <v>0.92290865815627532</v>
      </c>
      <c r="K35" s="2">
        <v>0.91548926667486852</v>
      </c>
      <c r="L35" s="2">
        <v>0.91241380186980081</v>
      </c>
      <c r="M35" s="2">
        <v>0.91391007875920138</v>
      </c>
      <c r="N35" s="2">
        <v>0.91288792755745785</v>
      </c>
      <c r="O35" s="2">
        <v>0.9145116727354724</v>
      </c>
      <c r="P35" s="2">
        <v>0.92093447158612163</v>
      </c>
      <c r="Q35" s="2">
        <v>0.91787449484766503</v>
      </c>
      <c r="R35" s="2">
        <v>0.91103675896764924</v>
      </c>
      <c r="S35" s="2">
        <v>0.91810569908165596</v>
      </c>
      <c r="T35" s="2">
        <v>0.91613224204874988</v>
      </c>
      <c r="U35" s="2">
        <v>0.91514620828767079</v>
      </c>
      <c r="V35" s="2">
        <v>0.91577604589501793</v>
      </c>
      <c r="W35" s="2">
        <v>0.91765536142570514</v>
      </c>
      <c r="X35" s="2">
        <f t="shared" si="0"/>
        <v>0.91600000000000004</v>
      </c>
      <c r="Y35" s="2">
        <f t="shared" si="4"/>
        <v>4.0000000000000062E-3</v>
      </c>
      <c r="Z35" s="2">
        <f t="shared" si="1"/>
        <v>0.43668122270742427</v>
      </c>
      <c r="AA35" s="2">
        <f t="shared" si="2"/>
        <v>0.90961020363983058</v>
      </c>
      <c r="AB35" s="2">
        <f t="shared" si="3"/>
        <v>0.92513543460747982</v>
      </c>
    </row>
    <row r="36" spans="1:28" x14ac:dyDescent="0.25">
      <c r="A36" t="s">
        <v>45</v>
      </c>
      <c r="B36" t="s">
        <v>45</v>
      </c>
      <c r="C36" t="s">
        <v>34</v>
      </c>
      <c r="D36" s="2">
        <v>-0.26349849341086928</v>
      </c>
      <c r="E36" s="2">
        <v>-0.24129118641157751</v>
      </c>
      <c r="F36" s="2">
        <v>-0.24914146972623591</v>
      </c>
      <c r="G36" s="2">
        <v>-0.27434713981163039</v>
      </c>
      <c r="H36" s="2">
        <v>-0.24404924413345341</v>
      </c>
      <c r="I36" s="2">
        <v>-0.2346790681535863</v>
      </c>
      <c r="J36" s="2">
        <v>-0.26346836623493458</v>
      </c>
      <c r="K36" s="2">
        <v>-0.22876129208895629</v>
      </c>
      <c r="L36" s="2">
        <v>-0.22296010715968301</v>
      </c>
      <c r="M36" s="2">
        <v>-0.23853201092244811</v>
      </c>
      <c r="N36" s="2">
        <v>-0.24467185064339511</v>
      </c>
      <c r="O36" s="2">
        <v>-0.27964813928424542</v>
      </c>
      <c r="P36" s="2">
        <v>-0.2464171934143824</v>
      </c>
      <c r="Q36" s="2">
        <v>-0.24192782604046831</v>
      </c>
      <c r="R36" s="2">
        <v>-0.24380719585551541</v>
      </c>
      <c r="S36" s="2">
        <v>-0.24334568842008841</v>
      </c>
      <c r="T36" s="2">
        <v>-0.22767622175495561</v>
      </c>
      <c r="U36" s="2">
        <v>-0.2297377786753699</v>
      </c>
      <c r="V36" s="2">
        <v>-0.2441751313916071</v>
      </c>
      <c r="W36" s="2">
        <v>-0.2378645964665978</v>
      </c>
      <c r="X36" s="2">
        <f t="shared" si="0"/>
        <v>-0.24500000000000002</v>
      </c>
      <c r="Y36" s="2">
        <f t="shared" si="4"/>
        <v>1.4999999999999989E-2</v>
      </c>
      <c r="Z36" s="2">
        <f t="shared" si="1"/>
        <v>6.122448979591832</v>
      </c>
      <c r="AA36" s="2">
        <f t="shared" si="2"/>
        <v>-0.27964813928424542</v>
      </c>
      <c r="AB36" s="2">
        <f t="shared" si="3"/>
        <v>-0.22296010715968301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workbookViewId="0"/>
  </sheetViews>
  <sheetFormatPr defaultRowHeight="15" x14ac:dyDescent="0.25"/>
  <cols>
    <col min="1" max="2" width="12" customWidth="1"/>
    <col min="3" max="7" width="22" customWidth="1"/>
  </cols>
  <sheetData>
    <row r="1" spans="1:7" x14ac:dyDescent="0.25">
      <c r="A1" s="3" t="s">
        <v>0</v>
      </c>
      <c r="B1" s="3" t="s">
        <v>1</v>
      </c>
      <c r="C1" s="3" t="s">
        <v>30</v>
      </c>
      <c r="D1" s="3" t="s">
        <v>31</v>
      </c>
      <c r="E1" s="3" t="s">
        <v>32</v>
      </c>
      <c r="F1" s="3" t="s">
        <v>33</v>
      </c>
      <c r="G1" s="3" t="s">
        <v>34</v>
      </c>
    </row>
    <row r="2" spans="1:7" x14ac:dyDescent="0.25">
      <c r="A2" t="s">
        <v>28</v>
      </c>
      <c r="B2" t="s">
        <v>29</v>
      </c>
      <c r="C2" t="str">
        <f>TEXT(Results_Table11!X2,"0.000")&amp;" ± "&amp;TEXT(Results_Table11!Y2,"0.000")</f>
        <v>0.812 ± 0.025</v>
      </c>
      <c r="D2" t="str">
        <f>TEXT(Results_Table11!X3,"0.000")&amp;" ± "&amp;TEXT(Results_Table11!Y3,"0.000")</f>
        <v>1.076 ± 0.032</v>
      </c>
      <c r="E2" t="str">
        <f>TEXT(Results_Table11!X4,"0.000")&amp;" ± "&amp;TEXT(Results_Table11!Y4,"0.000")</f>
        <v>6.876 ± 0.241</v>
      </c>
      <c r="F2" t="str">
        <f>TEXT(Results_Table11!X5,"0.000")&amp;" ± "&amp;TEXT(Results_Table11!Y5,"0.000")</f>
        <v>0.862 ± 0.005</v>
      </c>
      <c r="G2" t="str">
        <f>TEXT(Results_Table11!X6,"0.000")&amp;" ± "&amp;TEXT(Results_Table11!Y6,"0.000")</f>
        <v>0.246 ± 0.019</v>
      </c>
    </row>
    <row r="3" spans="1:7" x14ac:dyDescent="0.25">
      <c r="A3" t="s">
        <v>35</v>
      </c>
      <c r="B3" t="s">
        <v>36</v>
      </c>
      <c r="C3" t="str">
        <f>TEXT(Results_Table11!X7,"0.000")&amp;" ± "&amp;TEXT(Results_Table11!Y7,"0.000")</f>
        <v>0.764 ± 0.030</v>
      </c>
      <c r="D3" t="str">
        <f>TEXT(Results_Table11!X8,"0.000")&amp;" ± "&amp;TEXT(Results_Table11!Y8,"0.000")</f>
        <v>1.009 ± 0.037</v>
      </c>
      <c r="E3" t="str">
        <f>TEXT(Results_Table11!X9,"0.000")&amp;" ± "&amp;TEXT(Results_Table11!Y9,"0.000")</f>
        <v>6.476 ± 0.286</v>
      </c>
      <c r="F3" t="str">
        <f>TEXT(Results_Table11!X10,"0.000")&amp;" ± "&amp;TEXT(Results_Table11!Y10,"0.000")</f>
        <v>0.870 ± 0.006</v>
      </c>
      <c r="G3" t="str">
        <f>TEXT(Results_Table11!X11,"0.000")&amp;" ± "&amp;TEXT(Results_Table11!Y11,"0.000")</f>
        <v>0.181 ± 0.021</v>
      </c>
    </row>
    <row r="4" spans="1:7" x14ac:dyDescent="0.25">
      <c r="A4" t="s">
        <v>37</v>
      </c>
      <c r="B4" t="s">
        <v>38</v>
      </c>
      <c r="C4" t="str">
        <f>TEXT(Results_Table11!X12,"0.000")&amp;" ± "&amp;TEXT(Results_Table11!Y12,"0.000")</f>
        <v>0.708 ± 0.020</v>
      </c>
      <c r="D4" t="str">
        <f>TEXT(Results_Table11!X13,"0.000")&amp;" ± "&amp;TEXT(Results_Table11!Y13,"0.000")</f>
        <v>0.941 ± 0.025</v>
      </c>
      <c r="E4" t="str">
        <f>TEXT(Results_Table11!X14,"0.000")&amp;" ± "&amp;TEXT(Results_Table11!Y14,"0.000")</f>
        <v>5.992 ± 0.193</v>
      </c>
      <c r="F4" t="str">
        <f>TEXT(Results_Table11!X15,"0.000")&amp;" ± "&amp;TEXT(Results_Table11!Y15,"0.000")</f>
        <v>0.879 ± 0.004</v>
      </c>
      <c r="G4" t="str">
        <f>TEXT(Results_Table11!X16,"0.000")&amp;" ± "&amp;TEXT(Results_Table11!Y16,"0.000")</f>
        <v>0.111 ± 0.016</v>
      </c>
    </row>
    <row r="5" spans="1:7" x14ac:dyDescent="0.25">
      <c r="A5" t="s">
        <v>39</v>
      </c>
      <c r="B5" t="s">
        <v>40</v>
      </c>
      <c r="C5" t="str">
        <f>TEXT(Results_Table11!X17,"0.000")&amp;" ± "&amp;TEXT(Results_Table11!Y17,"0.000")</f>
        <v>0.659 ± 0.027</v>
      </c>
      <c r="D5" t="str">
        <f>TEXT(Results_Table11!X18,"0.000")&amp;" ± "&amp;TEXT(Results_Table11!Y18,"0.000")</f>
        <v>0.873 ± 0.036</v>
      </c>
      <c r="E5" t="str">
        <f>TEXT(Results_Table11!X19,"0.000")&amp;" ± "&amp;TEXT(Results_Table11!Y19,"0.000")</f>
        <v>5.553 ± 0.251</v>
      </c>
      <c r="F5" t="str">
        <f>TEXT(Results_Table11!X20,"0.000")&amp;" ± "&amp;TEXT(Results_Table11!Y20,"0.000")</f>
        <v>0.887 ± 0.005</v>
      </c>
      <c r="G5" t="str">
        <f>TEXT(Results_Table11!X21,"0.000")&amp;" ± "&amp;TEXT(Results_Table11!Y21,"0.000")</f>
        <v>0.040 ± 0.021</v>
      </c>
    </row>
    <row r="6" spans="1:7" x14ac:dyDescent="0.25">
      <c r="A6" t="s">
        <v>41</v>
      </c>
      <c r="B6" t="s">
        <v>42</v>
      </c>
      <c r="C6" t="str">
        <f>TEXT(Results_Table11!X22,"0.000")&amp;" ± "&amp;TEXT(Results_Table11!Y22,"0.000")</f>
        <v>0.603 ± 0.020</v>
      </c>
      <c r="D6" t="str">
        <f>TEXT(Results_Table11!X23,"0.000")&amp;" ± "&amp;TEXT(Results_Table11!Y23,"0.000")</f>
        <v>0.796 ± 0.027</v>
      </c>
      <c r="E6" t="str">
        <f>TEXT(Results_Table11!X24,"0.000")&amp;" ± "&amp;TEXT(Results_Table11!Y24,"0.000")</f>
        <v>5.113 ± 0.176</v>
      </c>
      <c r="F6" t="str">
        <f>TEXT(Results_Table11!X25,"0.000")&amp;" ± "&amp;TEXT(Results_Table11!Y25,"0.000")</f>
        <v>0.898 ± 0.005</v>
      </c>
      <c r="G6" t="str">
        <f>TEXT(Results_Table11!X26,"0.000")&amp;" ± "&amp;TEXT(Results_Table11!Y26,"0.000")</f>
        <v>-0.058 ± 0.017</v>
      </c>
    </row>
    <row r="7" spans="1:7" x14ac:dyDescent="0.25">
      <c r="A7" t="s">
        <v>43</v>
      </c>
      <c r="B7" t="s">
        <v>44</v>
      </c>
      <c r="C7" t="str">
        <f>TEXT(Results_Table11!X27,"0.000")&amp;" ± "&amp;TEXT(Results_Table11!Y27,"0.000")</f>
        <v>0.548 ± 0.015</v>
      </c>
      <c r="D7" t="str">
        <f>TEXT(Results_Table11!X28,"0.000")&amp;" ± "&amp;TEXT(Results_Table11!Y28,"0.000")</f>
        <v>0.724 ± 0.022</v>
      </c>
      <c r="E7" t="str">
        <f>TEXT(Results_Table11!X29,"0.000")&amp;" ± "&amp;TEXT(Results_Table11!Y29,"0.000")</f>
        <v>4.606 ± 0.158</v>
      </c>
      <c r="F7" t="str">
        <f>TEXT(Results_Table11!X30,"0.000")&amp;" ± "&amp;TEXT(Results_Table11!Y30,"0.000")</f>
        <v>0.907 ± 0.004</v>
      </c>
      <c r="G7" t="str">
        <f>TEXT(Results_Table11!X31,"0.000")&amp;" ± "&amp;TEXT(Results_Table11!Y31,"0.000")</f>
        <v>-0.151 ± 0.013</v>
      </c>
    </row>
    <row r="8" spans="1:7" x14ac:dyDescent="0.25">
      <c r="A8" t="s">
        <v>45</v>
      </c>
      <c r="B8" t="s">
        <v>45</v>
      </c>
      <c r="C8" t="str">
        <f>TEXT(Results_Table11!X32,"0.000")&amp;" ± "&amp;TEXT(Results_Table11!Y32,"0.000")</f>
        <v>0.500 ± 0.018</v>
      </c>
      <c r="D8" t="str">
        <f>TEXT(Results_Table11!X33,"0.000")&amp;" ± "&amp;TEXT(Results_Table11!Y33,"0.000")</f>
        <v>0.661 ± 0.022</v>
      </c>
      <c r="E8" t="str">
        <f>TEXT(Results_Table11!X34,"0.000")&amp;" ± "&amp;TEXT(Results_Table11!Y34,"0.000")</f>
        <v>4.225 ± 0.167</v>
      </c>
      <c r="F8" t="str">
        <f>TEXT(Results_Table11!X35,"0.000")&amp;" ± "&amp;TEXT(Results_Table11!Y35,"0.000")</f>
        <v>0.916 ± 0.004</v>
      </c>
      <c r="G8" t="str">
        <f>TEXT(Results_Table11!X36,"0.000")&amp;" ± "&amp;TEXT(Results_Table11!Y36,"0.000")</f>
        <v>-0.245 ± 0.015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Results_Table11</vt:lpstr>
      <vt:lpstr>Table11_Summary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Inzamam Mashood Nasir</cp:lastModifiedBy>
  <dcterms:created xsi:type="dcterms:W3CDTF">2026-09-26T18:00:12Z</dcterms:created>
  <dcterms:modified xsi:type="dcterms:W3CDTF">2026-09-26T18:01:42Z</dcterms:modified>
</cp:coreProperties>
</file>