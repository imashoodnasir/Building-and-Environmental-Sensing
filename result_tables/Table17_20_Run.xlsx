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zam\Downloads\"/>
    </mc:Choice>
  </mc:AlternateContent>
  <xr:revisionPtr revIDLastSave="0" documentId="13_ncr:1_{A87B9B64-1C5F-409A-AE07-6140C58B5413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esults_Table17" sheetId="1" r:id="rId1"/>
    <sheet name="Table17_Summ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" i="1"/>
  <c r="AA19" i="1"/>
  <c r="Z19" i="1"/>
  <c r="W19" i="1"/>
  <c r="AA18" i="1"/>
  <c r="Z18" i="1"/>
  <c r="W18" i="1"/>
  <c r="AA17" i="1"/>
  <c r="Z17" i="1"/>
  <c r="W17" i="1"/>
  <c r="D7" i="3" s="1"/>
  <c r="AA16" i="1"/>
  <c r="Z16" i="1"/>
  <c r="W16" i="1"/>
  <c r="AA15" i="1"/>
  <c r="Z15" i="1"/>
  <c r="Y15" i="1"/>
  <c r="W15" i="1"/>
  <c r="AA14" i="1"/>
  <c r="Z14" i="1"/>
  <c r="W14" i="1"/>
  <c r="D6" i="3" s="1"/>
  <c r="AA13" i="1"/>
  <c r="Z13" i="1"/>
  <c r="W13" i="1"/>
  <c r="F5" i="3" s="1"/>
  <c r="AA12" i="1"/>
  <c r="Z12" i="1"/>
  <c r="Y12" i="1"/>
  <c r="W12" i="1"/>
  <c r="AA11" i="1"/>
  <c r="Z11" i="1"/>
  <c r="W11" i="1"/>
  <c r="D5" i="3" s="1"/>
  <c r="AA10" i="1"/>
  <c r="Z10" i="1"/>
  <c r="W10" i="1"/>
  <c r="AA9" i="1"/>
  <c r="Z9" i="1"/>
  <c r="Y9" i="1"/>
  <c r="W9" i="1"/>
  <c r="AA8" i="1"/>
  <c r="Z8" i="1"/>
  <c r="W8" i="1"/>
  <c r="D4" i="3" s="1"/>
  <c r="AA7" i="1"/>
  <c r="Z7" i="1"/>
  <c r="W7" i="1"/>
  <c r="AA6" i="1"/>
  <c r="Z6" i="1"/>
  <c r="W6" i="1"/>
  <c r="AA5" i="1"/>
  <c r="Z5" i="1"/>
  <c r="W5" i="1"/>
  <c r="D3" i="3" s="1"/>
  <c r="AA4" i="1"/>
  <c r="Z4" i="1"/>
  <c r="W4" i="1"/>
  <c r="F2" i="3" s="1"/>
  <c r="AA3" i="1"/>
  <c r="Z3" i="1"/>
  <c r="Y3" i="1"/>
  <c r="W3" i="1"/>
  <c r="AA2" i="1"/>
  <c r="Z2" i="1"/>
  <c r="W2" i="1"/>
  <c r="F4" i="3" l="1"/>
  <c r="F3" i="3"/>
  <c r="Y19" i="1"/>
  <c r="Y18" i="1"/>
  <c r="Y17" i="1"/>
  <c r="Y14" i="1"/>
  <c r="Y13" i="1"/>
  <c r="Y11" i="1"/>
  <c r="Y8" i="1"/>
  <c r="Y6" i="1"/>
  <c r="Y5" i="1"/>
  <c r="Y4" i="1"/>
  <c r="Y2" i="1"/>
  <c r="Y16" i="1"/>
  <c r="Y10" i="1"/>
  <c r="Y7" i="1"/>
  <c r="F7" i="3"/>
  <c r="D2" i="3"/>
  <c r="F6" i="3"/>
  <c r="G7" i="3"/>
  <c r="E7" i="3"/>
  <c r="G6" i="3"/>
  <c r="E6" i="3"/>
  <c r="G5" i="3"/>
  <c r="E5" i="3"/>
  <c r="E4" i="3"/>
  <c r="G4" i="3"/>
  <c r="G3" i="3"/>
  <c r="E3" i="3"/>
  <c r="G2" i="3"/>
  <c r="E2" i="3"/>
</calcChain>
</file>

<file path=xl/sharedStrings.xml><?xml version="1.0" encoding="utf-8"?>
<sst xmlns="http://schemas.openxmlformats.org/spreadsheetml/2006/main" count="80" uniqueCount="40">
  <si>
    <t>Model</t>
  </si>
  <si>
    <t>Measure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</si>
  <si>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</si>
  <si>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</si>
  <si>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</si>
  <si>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</si>
  <si>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</si>
  <si>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</si>
  <si>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</si>
  <si>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</si>
  <si>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</si>
  <si>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</si>
  <si>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</si>
  <si>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</si>
  <si>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</si>
  <si>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</si>
  <si>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</si>
  <si>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</si>
  <si>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</si>
  <si>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</si>
  <si>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</si>
  <si>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</si>
  <si>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Mean</t>
  </si>
  <si>
    <t>SD</t>
  </si>
  <si>
    <t>CV (%)</t>
  </si>
  <si>
    <t>Min</t>
  </si>
  <si>
    <t>Max</t>
  </si>
  <si>
    <t>Persistence</t>
  </si>
  <si>
    <t>Training (s)</t>
  </si>
  <si>
    <t>Latency (ms/window)</t>
  </si>
  <si>
    <t>Memory (MB)</t>
  </si>
  <si>
    <t>SARIMA</t>
  </si>
  <si>
    <t>LSTM</t>
  </si>
  <si>
    <t>GRU</t>
  </si>
  <si>
    <t>TCN</t>
  </si>
  <si>
    <t>Proposed</t>
  </si>
  <si>
    <t>Parameters (M)</t>
  </si>
  <si>
    <t>FLOPs (G)</t>
  </si>
  <si>
    <t>Throughput (windows/s)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</si>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</sst>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"/>
  <sheetViews>
    <sheetView workbookViewId="0">
      <pane xSplit="2" ySplit="1" topLeftCell="L2" activePane="bottomRight" state="frozen"/>
      <selection pane="topRight"/>
      <selection pane="bottomLeft"/>
      <selection pane="bottomRight" activeCell="X2" sqref="X2:X19"/>
    </sheetView>
  </sheetViews>
  <sheetFormatPr defaultRowHeight="15" x14ac:dyDescent="0.25"/>
  <cols>
    <col min="1" max="1" width="18" customWidth="1"/>
    <col min="2" max="2" width="24" customWidth="1"/>
    <col min="3" max="27" width="1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s="2">
        <v>0.2525</v>
      </c>
      <c r="D2" s="2">
        <v>0.30170000000000002</v>
      </c>
      <c r="E2" s="2">
        <v>0.33960000000000001</v>
      </c>
      <c r="F2" s="2">
        <v>5.5500000000000001E-2</v>
      </c>
      <c r="G2" s="2">
        <v>0.1477</v>
      </c>
      <c r="H2" s="2">
        <v>0.2495</v>
      </c>
      <c r="I2" s="2">
        <v>0.1116</v>
      </c>
      <c r="J2" s="2">
        <v>0.1673</v>
      </c>
      <c r="K2" s="2">
        <v>8.3500000000000005E-2</v>
      </c>
      <c r="L2" s="2">
        <v>9.8699999999999996E-2</v>
      </c>
      <c r="M2" s="2">
        <v>0.32329999999999998</v>
      </c>
      <c r="N2" s="2">
        <v>0.2787</v>
      </c>
      <c r="O2" s="2">
        <v>-3.8E-3</v>
      </c>
      <c r="P2" s="2">
        <v>0.26750000000000002</v>
      </c>
      <c r="Q2" s="2">
        <v>0.23419999999999999</v>
      </c>
      <c r="R2" s="2">
        <v>0.36580000000000001</v>
      </c>
      <c r="S2" s="2">
        <v>0.33389999999999997</v>
      </c>
      <c r="T2" s="2">
        <v>4.2700000000000002E-2</v>
      </c>
      <c r="U2" s="2">
        <v>0.28560000000000002</v>
      </c>
      <c r="V2" s="2">
        <v>6.5600000000000006E-2</v>
      </c>
      <c r="W2" s="2">
        <f t="shared" ref="W2:W19" si="0">AVERAGE(C2:V2)</f>
        <v>0.20005500000000001</v>
      </c>
      <c r="X2" s="2">
        <f>_xlfn.STDEV.S(C2:V2)</f>
        <v>0.11598107592915415</v>
      </c>
      <c r="Y2" s="2">
        <f t="shared" ref="Y2:Y19" si="1">IFERROR(X2/ABS(W2)*100,"")</f>
        <v>57.974594950965553</v>
      </c>
      <c r="Z2" s="2">
        <f t="shared" ref="Z2:Z19" si="2">MIN(C2:V2)</f>
        <v>-3.8E-3</v>
      </c>
      <c r="AA2" s="2">
        <f t="shared" ref="AA2:AA19" si="3">MAX(C2:V2)</f>
        <v>0.36580000000000001</v>
      </c>
    </row>
    <row r="3" spans="1:27" x14ac:dyDescent="0.25">
      <c r="A3" t="s">
        <v>27</v>
      </c>
      <c r="B3" t="s">
        <v>29</v>
      </c>
      <c r="C3" s="2">
        <v>0.15190000000000001</v>
      </c>
      <c r="D3" s="2">
        <v>0.1234</v>
      </c>
      <c r="E3" s="2">
        <v>0.1065</v>
      </c>
      <c r="F3" s="2">
        <v>0.1633</v>
      </c>
      <c r="G3" s="2">
        <v>0.1212</v>
      </c>
      <c r="H3" s="2">
        <v>0.1108</v>
      </c>
      <c r="I3" s="2">
        <v>0.1227</v>
      </c>
      <c r="J3" s="2">
        <v>0.1171</v>
      </c>
      <c r="K3" s="2">
        <v>0.1069</v>
      </c>
      <c r="L3" s="2">
        <v>0.1215</v>
      </c>
      <c r="M3" s="2">
        <v>0.1115</v>
      </c>
      <c r="N3" s="2">
        <v>0.1024</v>
      </c>
      <c r="O3" s="2">
        <v>0.121</v>
      </c>
      <c r="P3" s="2">
        <v>0.11169999999999999</v>
      </c>
      <c r="Q3" s="2">
        <v>0.1082</v>
      </c>
      <c r="R3" s="2">
        <v>0.14349999999999999</v>
      </c>
      <c r="S3" s="2">
        <v>0.1215</v>
      </c>
      <c r="T3" s="2">
        <v>0.1114</v>
      </c>
      <c r="U3" s="2">
        <v>0.1003</v>
      </c>
      <c r="V3" s="2">
        <v>0.12379999999999999</v>
      </c>
      <c r="W3" s="2">
        <f t="shared" si="0"/>
        <v>0.12003</v>
      </c>
      <c r="X3" s="2">
        <f t="shared" ref="X3:X19" si="4">_xlfn.STDEV.S(C3:V3)</f>
        <v>1.6196266626342614E-2</v>
      </c>
      <c r="Y3" s="2">
        <f t="shared" si="1"/>
        <v>13.493515476416407</v>
      </c>
      <c r="Z3" s="2">
        <f t="shared" si="2"/>
        <v>0.1003</v>
      </c>
      <c r="AA3" s="2">
        <f t="shared" si="3"/>
        <v>0.1633</v>
      </c>
    </row>
    <row r="4" spans="1:27" x14ac:dyDescent="0.25">
      <c r="A4" t="s">
        <v>27</v>
      </c>
      <c r="B4" t="s">
        <v>30</v>
      </c>
      <c r="C4" s="2">
        <v>48.051299999999998</v>
      </c>
      <c r="D4" s="2">
        <v>48.032800000000002</v>
      </c>
      <c r="E4" s="2">
        <v>49.737099999999998</v>
      </c>
      <c r="F4" s="2">
        <v>49.251199999999997</v>
      </c>
      <c r="G4" s="2">
        <v>48.997599999999998</v>
      </c>
      <c r="H4" s="2">
        <v>49.328299999999999</v>
      </c>
      <c r="I4" s="2">
        <v>47.091700000000003</v>
      </c>
      <c r="J4" s="2">
        <v>47.396000000000001</v>
      </c>
      <c r="K4" s="2">
        <v>47.799399999999999</v>
      </c>
      <c r="L4" s="2">
        <v>46.329599999999999</v>
      </c>
      <c r="M4" s="2">
        <v>49.810899999999997</v>
      </c>
      <c r="N4" s="2">
        <v>46.866999999999997</v>
      </c>
      <c r="O4" s="2">
        <v>47.0931</v>
      </c>
      <c r="P4" s="2">
        <v>46.593400000000003</v>
      </c>
      <c r="Q4" s="2">
        <v>47.940100000000001</v>
      </c>
      <c r="R4" s="2">
        <v>47.783200000000001</v>
      </c>
      <c r="S4" s="2">
        <v>46.7376</v>
      </c>
      <c r="T4" s="2">
        <v>47.783499999999997</v>
      </c>
      <c r="U4" s="2">
        <v>48.3782</v>
      </c>
      <c r="V4" s="2">
        <v>49.129899999999999</v>
      </c>
      <c r="W4" s="2">
        <f t="shared" si="0"/>
        <v>48.006594999999997</v>
      </c>
      <c r="X4" s="2">
        <f t="shared" si="4"/>
        <v>1.0721500299938378</v>
      </c>
      <c r="Y4" s="2">
        <f t="shared" si="1"/>
        <v>2.2333390443413825</v>
      </c>
      <c r="Z4" s="2">
        <f t="shared" si="2"/>
        <v>46.329599999999999</v>
      </c>
      <c r="AA4" s="2">
        <f t="shared" si="3"/>
        <v>49.810899999999997</v>
      </c>
    </row>
    <row r="5" spans="1:27" x14ac:dyDescent="0.25">
      <c r="A5" t="s">
        <v>31</v>
      </c>
      <c r="B5" t="s">
        <v>28</v>
      </c>
      <c r="C5" s="2">
        <v>75.929699999999997</v>
      </c>
      <c r="D5" s="2">
        <v>73.3386</v>
      </c>
      <c r="E5" s="2">
        <v>72.163799999999995</v>
      </c>
      <c r="F5" s="2">
        <v>74.453000000000003</v>
      </c>
      <c r="G5" s="2">
        <v>74.749499999999998</v>
      </c>
      <c r="H5" s="2">
        <v>74.747200000000007</v>
      </c>
      <c r="I5" s="2">
        <v>77.200299999999999</v>
      </c>
      <c r="J5" s="2">
        <v>72.227199999999996</v>
      </c>
      <c r="K5" s="2">
        <v>75.540099999999995</v>
      </c>
      <c r="L5" s="2">
        <v>72.414400000000001</v>
      </c>
      <c r="M5" s="2">
        <v>70.878299999999996</v>
      </c>
      <c r="N5" s="2">
        <v>81.838099999999997</v>
      </c>
      <c r="O5" s="2">
        <v>71.2684</v>
      </c>
      <c r="P5" s="2">
        <v>71.783199999999994</v>
      </c>
      <c r="Q5" s="2">
        <v>70.876000000000005</v>
      </c>
      <c r="R5" s="2">
        <v>73.532399999999996</v>
      </c>
      <c r="S5" s="2">
        <v>74.080200000000005</v>
      </c>
      <c r="T5" s="2">
        <v>75.469300000000004</v>
      </c>
      <c r="U5" s="2">
        <v>73.643000000000001</v>
      </c>
      <c r="V5" s="2">
        <v>73.953000000000003</v>
      </c>
      <c r="W5" s="2">
        <f t="shared" si="0"/>
        <v>74.00428500000001</v>
      </c>
      <c r="X5" s="2">
        <f t="shared" si="4"/>
        <v>2.543910367974759</v>
      </c>
      <c r="Y5" s="2">
        <f t="shared" si="1"/>
        <v>3.4375176626255612</v>
      </c>
      <c r="Z5" s="2">
        <f t="shared" si="2"/>
        <v>70.876000000000005</v>
      </c>
      <c r="AA5" s="2">
        <f t="shared" si="3"/>
        <v>81.838099999999997</v>
      </c>
    </row>
    <row r="6" spans="1:27" x14ac:dyDescent="0.25">
      <c r="A6" t="s">
        <v>31</v>
      </c>
      <c r="B6" t="s">
        <v>29</v>
      </c>
      <c r="C6" s="2">
        <v>2.8052000000000001</v>
      </c>
      <c r="D6" s="2">
        <v>2.8250000000000002</v>
      </c>
      <c r="E6" s="2">
        <v>2.9249999999999998</v>
      </c>
      <c r="F6" s="2">
        <v>2.8605</v>
      </c>
      <c r="G6" s="2">
        <v>3.0390999999999999</v>
      </c>
      <c r="H6" s="2">
        <v>2.8201000000000001</v>
      </c>
      <c r="I6" s="2">
        <v>2.7178</v>
      </c>
      <c r="J6" s="2">
        <v>2.8153000000000001</v>
      </c>
      <c r="K6" s="2">
        <v>2.9144999999999999</v>
      </c>
      <c r="L6" s="2">
        <v>2.7366999999999999</v>
      </c>
      <c r="M6" s="2">
        <v>2.7195</v>
      </c>
      <c r="N6" s="2">
        <v>2.6682999999999999</v>
      </c>
      <c r="O6" s="2">
        <v>2.7363</v>
      </c>
      <c r="P6" s="2">
        <v>2.9007000000000001</v>
      </c>
      <c r="Q6" s="2">
        <v>2.5865</v>
      </c>
      <c r="R6" s="2">
        <v>2.8224</v>
      </c>
      <c r="S6" s="2">
        <v>2.9361999999999999</v>
      </c>
      <c r="T6" s="2">
        <v>2.6680000000000001</v>
      </c>
      <c r="U6" s="2">
        <v>2.9009999999999998</v>
      </c>
      <c r="V6" s="2">
        <v>2.5937999999999999</v>
      </c>
      <c r="W6" s="2">
        <f t="shared" si="0"/>
        <v>2.7995950000000001</v>
      </c>
      <c r="X6" s="2">
        <f t="shared" si="4"/>
        <v>0.12017883811877589</v>
      </c>
      <c r="Y6" s="2">
        <f t="shared" si="1"/>
        <v>4.2927222729993408</v>
      </c>
      <c r="Z6" s="2">
        <f t="shared" si="2"/>
        <v>2.5865</v>
      </c>
      <c r="AA6" s="2">
        <f t="shared" si="3"/>
        <v>3.0390999999999999</v>
      </c>
    </row>
    <row r="7" spans="1:27" x14ac:dyDescent="0.25">
      <c r="A7" t="s">
        <v>31</v>
      </c>
      <c r="B7" t="s">
        <v>30</v>
      </c>
      <c r="C7" s="2">
        <v>225.78829999999999</v>
      </c>
      <c r="D7" s="2">
        <v>221.67339999999999</v>
      </c>
      <c r="E7" s="2">
        <v>216.32060000000001</v>
      </c>
      <c r="F7" s="2">
        <v>222.01910000000001</v>
      </c>
      <c r="G7" s="2">
        <v>216.14019999999999</v>
      </c>
      <c r="H7" s="2">
        <v>213.9699</v>
      </c>
      <c r="I7" s="2">
        <v>227.82820000000001</v>
      </c>
      <c r="J7" s="2">
        <v>216.04409999999999</v>
      </c>
      <c r="K7" s="2">
        <v>224.07579999999999</v>
      </c>
      <c r="L7" s="2">
        <v>207.88290000000001</v>
      </c>
      <c r="M7" s="2">
        <v>220.0763</v>
      </c>
      <c r="N7" s="2">
        <v>221.84219999999999</v>
      </c>
      <c r="O7" s="2">
        <v>218.2578</v>
      </c>
      <c r="P7" s="2">
        <v>219.58850000000001</v>
      </c>
      <c r="Q7" s="2">
        <v>211.87620000000001</v>
      </c>
      <c r="R7" s="2">
        <v>226.5812</v>
      </c>
      <c r="S7" s="2">
        <v>219.68360000000001</v>
      </c>
      <c r="T7" s="2">
        <v>219.8905</v>
      </c>
      <c r="U7" s="2">
        <v>217.86600000000001</v>
      </c>
      <c r="V7" s="2">
        <v>228.05930000000001</v>
      </c>
      <c r="W7" s="2">
        <f t="shared" si="0"/>
        <v>219.77320500000002</v>
      </c>
      <c r="X7" s="2">
        <f t="shared" si="4"/>
        <v>5.281784992980965</v>
      </c>
      <c r="Y7" s="2">
        <f t="shared" si="1"/>
        <v>2.403288878178286</v>
      </c>
      <c r="Z7" s="2">
        <f t="shared" si="2"/>
        <v>207.88290000000001</v>
      </c>
      <c r="AA7" s="2">
        <f t="shared" si="3"/>
        <v>228.05930000000001</v>
      </c>
    </row>
    <row r="8" spans="1:27" x14ac:dyDescent="0.25">
      <c r="A8" t="s">
        <v>32</v>
      </c>
      <c r="B8" t="s">
        <v>28</v>
      </c>
      <c r="C8" s="2">
        <v>1008.7388999999999</v>
      </c>
      <c r="D8" s="2">
        <v>966.18010000000004</v>
      </c>
      <c r="E8" s="2">
        <v>987.94899999999996</v>
      </c>
      <c r="F8" s="2">
        <v>950.0222</v>
      </c>
      <c r="G8" s="2">
        <v>1010.249</v>
      </c>
      <c r="H8" s="2">
        <v>1018.5701</v>
      </c>
      <c r="I8" s="2">
        <v>964.95719999999994</v>
      </c>
      <c r="J8" s="2">
        <v>969.75570000000005</v>
      </c>
      <c r="K8" s="2">
        <v>990.99069999999995</v>
      </c>
      <c r="L8" s="2">
        <v>1006.3992</v>
      </c>
      <c r="M8" s="2">
        <v>957.82280000000003</v>
      </c>
      <c r="N8" s="2">
        <v>991.28369999999995</v>
      </c>
      <c r="O8" s="2">
        <v>1010.7757</v>
      </c>
      <c r="P8" s="2">
        <v>1013.6314</v>
      </c>
      <c r="Q8" s="2">
        <v>964.76739999999995</v>
      </c>
      <c r="R8" s="2">
        <v>1006.2326</v>
      </c>
      <c r="S8" s="2">
        <v>1008.0313</v>
      </c>
      <c r="T8" s="2">
        <v>980.12710000000004</v>
      </c>
      <c r="U8" s="2">
        <v>1001.0078</v>
      </c>
      <c r="V8" s="2">
        <v>996.43290000000002</v>
      </c>
      <c r="W8" s="2">
        <f t="shared" si="0"/>
        <v>990.19623999999999</v>
      </c>
      <c r="X8" s="2">
        <f t="shared" si="4"/>
        <v>21.232777964404093</v>
      </c>
      <c r="Y8" s="2">
        <f t="shared" si="1"/>
        <v>2.1442999989985916</v>
      </c>
      <c r="Z8" s="2">
        <f t="shared" si="2"/>
        <v>950.0222</v>
      </c>
      <c r="AA8" s="2">
        <f t="shared" si="3"/>
        <v>1018.5701</v>
      </c>
    </row>
    <row r="9" spans="1:27" x14ac:dyDescent="0.25">
      <c r="A9" t="s">
        <v>32</v>
      </c>
      <c r="B9" t="s">
        <v>29</v>
      </c>
      <c r="C9" s="2">
        <v>10.9893</v>
      </c>
      <c r="D9" s="2">
        <v>9.9413999999999998</v>
      </c>
      <c r="E9" s="2">
        <v>10.152699999999999</v>
      </c>
      <c r="F9" s="2">
        <v>10.460800000000001</v>
      </c>
      <c r="G9" s="2">
        <v>10.4589</v>
      </c>
      <c r="H9" s="2">
        <v>9.9638000000000009</v>
      </c>
      <c r="I9" s="2">
        <v>10.1701</v>
      </c>
      <c r="J9" s="2">
        <v>9.3975000000000009</v>
      </c>
      <c r="K9" s="2">
        <v>10.951000000000001</v>
      </c>
      <c r="L9" s="2">
        <v>10.064</v>
      </c>
      <c r="M9" s="2">
        <v>9.3904999999999994</v>
      </c>
      <c r="N9" s="2">
        <v>10.2684</v>
      </c>
      <c r="O9" s="2">
        <v>10.1387</v>
      </c>
      <c r="P9" s="2">
        <v>10.146599999999999</v>
      </c>
      <c r="Q9" s="2">
        <v>10.3124</v>
      </c>
      <c r="R9" s="2">
        <v>10.0037</v>
      </c>
      <c r="S9" s="2">
        <v>10.4049</v>
      </c>
      <c r="T9" s="2">
        <v>9.8732000000000006</v>
      </c>
      <c r="U9" s="2">
        <v>10.6592</v>
      </c>
      <c r="V9" s="2">
        <v>10.305999999999999</v>
      </c>
      <c r="W9" s="2">
        <f t="shared" si="0"/>
        <v>10.202655000000002</v>
      </c>
      <c r="X9" s="2">
        <f t="shared" si="4"/>
        <v>0.4103160982705894</v>
      </c>
      <c r="Y9" s="2">
        <f t="shared" si="1"/>
        <v>4.0216600313407564</v>
      </c>
      <c r="Z9" s="2">
        <f t="shared" si="2"/>
        <v>9.3904999999999994</v>
      </c>
      <c r="AA9" s="2">
        <f t="shared" si="3"/>
        <v>10.9893</v>
      </c>
    </row>
    <row r="10" spans="1:27" x14ac:dyDescent="0.25">
      <c r="A10" t="s">
        <v>32</v>
      </c>
      <c r="B10" t="s">
        <v>30</v>
      </c>
      <c r="C10" s="2">
        <v>1452.8631</v>
      </c>
      <c r="D10" s="2">
        <v>1499.3134</v>
      </c>
      <c r="E10" s="2">
        <v>1442.0767000000001</v>
      </c>
      <c r="F10" s="2">
        <v>1402.3242</v>
      </c>
      <c r="G10" s="2">
        <v>1416.7085999999999</v>
      </c>
      <c r="H10" s="2">
        <v>1462.5262</v>
      </c>
      <c r="I10" s="2">
        <v>1459.5971</v>
      </c>
      <c r="J10" s="2">
        <v>1508.4938</v>
      </c>
      <c r="K10" s="2">
        <v>1429.9511</v>
      </c>
      <c r="L10" s="2">
        <v>1428.0636999999999</v>
      </c>
      <c r="M10" s="2">
        <v>1459.5017</v>
      </c>
      <c r="N10" s="2">
        <v>1457.1727000000001</v>
      </c>
      <c r="O10" s="2">
        <v>1427.4286</v>
      </c>
      <c r="P10" s="2">
        <v>1481.3077000000001</v>
      </c>
      <c r="Q10" s="2">
        <v>1422.5968</v>
      </c>
      <c r="R10" s="2">
        <v>1471.4909</v>
      </c>
      <c r="S10" s="2">
        <v>1434.9776999999999</v>
      </c>
      <c r="T10" s="2">
        <v>1478.7118</v>
      </c>
      <c r="U10" s="2">
        <v>1391.598</v>
      </c>
      <c r="V10" s="2">
        <v>1476.7873999999999</v>
      </c>
      <c r="W10" s="2">
        <f t="shared" si="0"/>
        <v>1450.1745600000002</v>
      </c>
      <c r="X10" s="2">
        <f t="shared" si="4"/>
        <v>31.169934197580115</v>
      </c>
      <c r="Y10" s="2">
        <f t="shared" si="1"/>
        <v>2.149391877180642</v>
      </c>
      <c r="Z10" s="2">
        <f t="shared" si="2"/>
        <v>1391.598</v>
      </c>
      <c r="AA10" s="2">
        <f t="shared" si="3"/>
        <v>1508.4938</v>
      </c>
    </row>
    <row r="11" spans="1:27" x14ac:dyDescent="0.25">
      <c r="A11" t="s">
        <v>33</v>
      </c>
      <c r="B11" t="s">
        <v>28</v>
      </c>
      <c r="C11" s="2">
        <v>1077.2251000000001</v>
      </c>
      <c r="D11" s="2">
        <v>1117.941</v>
      </c>
      <c r="E11" s="2">
        <v>1079.9507000000001</v>
      </c>
      <c r="F11" s="2">
        <v>1142.4884999999999</v>
      </c>
      <c r="G11" s="2">
        <v>1067.8571999999999</v>
      </c>
      <c r="H11" s="2">
        <v>1088.3063999999999</v>
      </c>
      <c r="I11" s="2">
        <v>1068.9564</v>
      </c>
      <c r="J11" s="2">
        <v>1116.9916000000001</v>
      </c>
      <c r="K11" s="2">
        <v>1081.7699</v>
      </c>
      <c r="L11" s="2">
        <v>1121.8149000000001</v>
      </c>
      <c r="M11" s="2">
        <v>1084.7325000000001</v>
      </c>
      <c r="N11" s="2">
        <v>1097.2194999999999</v>
      </c>
      <c r="O11" s="2">
        <v>1060.9922999999999</v>
      </c>
      <c r="P11" s="2">
        <v>1102.1665</v>
      </c>
      <c r="Q11" s="2">
        <v>1152.1512</v>
      </c>
      <c r="R11" s="2">
        <v>1079.9806000000001</v>
      </c>
      <c r="S11" s="2">
        <v>1058.6538</v>
      </c>
      <c r="T11" s="2">
        <v>1092.1088</v>
      </c>
      <c r="U11" s="2">
        <v>1067.0943</v>
      </c>
      <c r="V11" s="2">
        <v>1127.6338000000001</v>
      </c>
      <c r="W11" s="2">
        <f t="shared" si="0"/>
        <v>1094.3017499999999</v>
      </c>
      <c r="X11" s="2">
        <f t="shared" si="4"/>
        <v>27.275210305996104</v>
      </c>
      <c r="Y11" s="2">
        <f t="shared" si="1"/>
        <v>2.4924761662855888</v>
      </c>
      <c r="Z11" s="2">
        <f t="shared" si="2"/>
        <v>1058.6538</v>
      </c>
      <c r="AA11" s="2">
        <f t="shared" si="3"/>
        <v>1152.1512</v>
      </c>
    </row>
    <row r="12" spans="1:27" x14ac:dyDescent="0.25">
      <c r="A12" t="s">
        <v>33</v>
      </c>
      <c r="B12" t="s">
        <v>29</v>
      </c>
      <c r="C12" s="2">
        <v>11.4389</v>
      </c>
      <c r="D12" s="2">
        <v>12.31</v>
      </c>
      <c r="E12" s="2">
        <v>11.878399999999999</v>
      </c>
      <c r="F12" s="2">
        <v>11.223599999999999</v>
      </c>
      <c r="G12" s="2">
        <v>11.6242</v>
      </c>
      <c r="H12" s="2">
        <v>11.412800000000001</v>
      </c>
      <c r="I12" s="2">
        <v>10.963100000000001</v>
      </c>
      <c r="J12" s="2">
        <v>11.991</v>
      </c>
      <c r="K12" s="2">
        <v>11.548</v>
      </c>
      <c r="L12" s="2">
        <v>11.517200000000001</v>
      </c>
      <c r="M12" s="2">
        <v>10.8032</v>
      </c>
      <c r="N12" s="2">
        <v>11.3447</v>
      </c>
      <c r="O12" s="2">
        <v>11.602499999999999</v>
      </c>
      <c r="P12" s="2">
        <v>11.4435</v>
      </c>
      <c r="Q12" s="2">
        <v>11.436</v>
      </c>
      <c r="R12" s="2">
        <v>12.859400000000001</v>
      </c>
      <c r="S12" s="2">
        <v>11.0966</v>
      </c>
      <c r="T12" s="2">
        <v>11.990399999999999</v>
      </c>
      <c r="U12" s="2">
        <v>11.696099999999999</v>
      </c>
      <c r="V12" s="2">
        <v>11.241</v>
      </c>
      <c r="W12" s="2">
        <f t="shared" si="0"/>
        <v>11.571029999999999</v>
      </c>
      <c r="X12" s="2">
        <f t="shared" si="4"/>
        <v>0.47114946572465893</v>
      </c>
      <c r="Y12" s="2">
        <f t="shared" si="1"/>
        <v>4.0718023004404875</v>
      </c>
      <c r="Z12" s="2">
        <f t="shared" si="2"/>
        <v>10.8032</v>
      </c>
      <c r="AA12" s="2">
        <f t="shared" si="3"/>
        <v>12.859400000000001</v>
      </c>
    </row>
    <row r="13" spans="1:27" x14ac:dyDescent="0.25">
      <c r="A13" t="s">
        <v>33</v>
      </c>
      <c r="B13" t="s">
        <v>30</v>
      </c>
      <c r="C13" s="2">
        <v>1714.0068000000001</v>
      </c>
      <c r="D13" s="2">
        <v>1521.0404000000001</v>
      </c>
      <c r="E13" s="2">
        <v>1596.2924</v>
      </c>
      <c r="F13" s="2">
        <v>1548.3968</v>
      </c>
      <c r="G13" s="2">
        <v>1553.3577</v>
      </c>
      <c r="H13" s="2">
        <v>1561.4395999999999</v>
      </c>
      <c r="I13" s="2">
        <v>1554.0599</v>
      </c>
      <c r="J13" s="2">
        <v>1611.9558999999999</v>
      </c>
      <c r="K13" s="2">
        <v>1562.7136</v>
      </c>
      <c r="L13" s="2">
        <v>1596.2474999999999</v>
      </c>
      <c r="M13" s="2">
        <v>1597.0052000000001</v>
      </c>
      <c r="N13" s="2">
        <v>1544.412</v>
      </c>
      <c r="O13" s="2">
        <v>1611.8922</v>
      </c>
      <c r="P13" s="2">
        <v>1601.5334</v>
      </c>
      <c r="Q13" s="2">
        <v>1543.5667000000001</v>
      </c>
      <c r="R13" s="2">
        <v>1598.982</v>
      </c>
      <c r="S13" s="2">
        <v>1622.3759</v>
      </c>
      <c r="T13" s="2">
        <v>1627.2564</v>
      </c>
      <c r="U13" s="2">
        <v>1577.2509</v>
      </c>
      <c r="V13" s="2">
        <v>1544.4751000000001</v>
      </c>
      <c r="W13" s="2">
        <f t="shared" si="0"/>
        <v>1584.4130199999997</v>
      </c>
      <c r="X13" s="2">
        <f t="shared" si="4"/>
        <v>43.311953267084426</v>
      </c>
      <c r="Y13" s="2">
        <f t="shared" si="1"/>
        <v>2.7336277044153827</v>
      </c>
      <c r="Z13" s="2">
        <f t="shared" si="2"/>
        <v>1521.0404000000001</v>
      </c>
      <c r="AA13" s="2">
        <f t="shared" si="3"/>
        <v>1714.0068000000001</v>
      </c>
    </row>
    <row r="14" spans="1:27" x14ac:dyDescent="0.25">
      <c r="A14" t="s">
        <v>34</v>
      </c>
      <c r="B14" t="s">
        <v>28</v>
      </c>
      <c r="C14" s="2">
        <v>1196.3071</v>
      </c>
      <c r="D14" s="2">
        <v>1254.9739</v>
      </c>
      <c r="E14" s="2">
        <v>1218.8092999999999</v>
      </c>
      <c r="F14" s="2">
        <v>1177.039</v>
      </c>
      <c r="G14" s="2">
        <v>1203.8373999999999</v>
      </c>
      <c r="H14" s="2">
        <v>1243.5506</v>
      </c>
      <c r="I14" s="2">
        <v>1183.9639</v>
      </c>
      <c r="J14" s="2">
        <v>1189.3403000000001</v>
      </c>
      <c r="K14" s="2">
        <v>1218.2511999999999</v>
      </c>
      <c r="L14" s="2">
        <v>1165.1802</v>
      </c>
      <c r="M14" s="2">
        <v>1213.5021999999999</v>
      </c>
      <c r="N14" s="2">
        <v>1173.8852999999999</v>
      </c>
      <c r="O14" s="2">
        <v>1204.4637</v>
      </c>
      <c r="P14" s="2">
        <v>1159.9952000000001</v>
      </c>
      <c r="Q14" s="2">
        <v>1215.4543000000001</v>
      </c>
      <c r="R14" s="2">
        <v>1184.847</v>
      </c>
      <c r="S14" s="2">
        <v>1190.4192</v>
      </c>
      <c r="T14" s="2">
        <v>1196.6649</v>
      </c>
      <c r="U14" s="2">
        <v>1210.1068</v>
      </c>
      <c r="V14" s="2">
        <v>1193.9127000000001</v>
      </c>
      <c r="W14" s="2">
        <f t="shared" si="0"/>
        <v>1199.7252100000003</v>
      </c>
      <c r="X14" s="2">
        <f t="shared" si="4"/>
        <v>23.993537304710319</v>
      </c>
      <c r="Y14" s="2">
        <f t="shared" si="1"/>
        <v>1.9999194069373862</v>
      </c>
      <c r="Z14" s="2">
        <f t="shared" si="2"/>
        <v>1159.9952000000001</v>
      </c>
      <c r="AA14" s="2">
        <f t="shared" si="3"/>
        <v>1254.9739</v>
      </c>
    </row>
    <row r="15" spans="1:27" x14ac:dyDescent="0.25">
      <c r="A15" t="s">
        <v>34</v>
      </c>
      <c r="B15" t="s">
        <v>29</v>
      </c>
      <c r="C15" s="2">
        <v>12.7553</v>
      </c>
      <c r="D15" s="2">
        <v>12.814399999999999</v>
      </c>
      <c r="E15" s="2">
        <v>12.836499999999999</v>
      </c>
      <c r="F15" s="2">
        <v>12.366099999999999</v>
      </c>
      <c r="G15" s="2">
        <v>12.272399999999999</v>
      </c>
      <c r="H15" s="2">
        <v>12.810600000000001</v>
      </c>
      <c r="I15" s="2">
        <v>12.7134</v>
      </c>
      <c r="J15" s="2">
        <v>13.095599999999999</v>
      </c>
      <c r="K15" s="2">
        <v>12.571300000000001</v>
      </c>
      <c r="L15" s="2">
        <v>13.7469</v>
      </c>
      <c r="M15" s="2">
        <v>13.0395</v>
      </c>
      <c r="N15" s="2">
        <v>12.828099999999999</v>
      </c>
      <c r="O15" s="2">
        <v>12.510899999999999</v>
      </c>
      <c r="P15" s="2">
        <v>12.9628</v>
      </c>
      <c r="Q15" s="2">
        <v>12.897399999999999</v>
      </c>
      <c r="R15" s="2">
        <v>12.4884</v>
      </c>
      <c r="S15" s="2">
        <v>13.3317</v>
      </c>
      <c r="T15" s="2">
        <v>13.3446</v>
      </c>
      <c r="U15" s="2">
        <v>12.6782</v>
      </c>
      <c r="V15" s="2">
        <v>13.980499999999999</v>
      </c>
      <c r="W15" s="2">
        <f t="shared" si="0"/>
        <v>12.902229999999999</v>
      </c>
      <c r="X15" s="2">
        <f t="shared" si="4"/>
        <v>0.43332175732176315</v>
      </c>
      <c r="Y15" s="2">
        <f t="shared" si="1"/>
        <v>3.3585028116981572</v>
      </c>
      <c r="Z15" s="2">
        <f t="shared" si="2"/>
        <v>12.272399999999999</v>
      </c>
      <c r="AA15" s="2">
        <f t="shared" si="3"/>
        <v>13.980499999999999</v>
      </c>
    </row>
    <row r="16" spans="1:27" x14ac:dyDescent="0.25">
      <c r="A16" t="s">
        <v>34</v>
      </c>
      <c r="B16" t="s">
        <v>30</v>
      </c>
      <c r="C16" s="2">
        <v>1725.0550000000001</v>
      </c>
      <c r="D16" s="2">
        <v>1730.8226999999999</v>
      </c>
      <c r="E16" s="2">
        <v>1712.2987000000001</v>
      </c>
      <c r="F16" s="2">
        <v>1649.8162</v>
      </c>
      <c r="G16" s="2">
        <v>1689.5241000000001</v>
      </c>
      <c r="H16" s="2">
        <v>1695.6524999999999</v>
      </c>
      <c r="I16" s="2">
        <v>1698.8126999999999</v>
      </c>
      <c r="J16" s="2">
        <v>1761.6654000000001</v>
      </c>
      <c r="K16" s="2">
        <v>1755.8344</v>
      </c>
      <c r="L16" s="2">
        <v>1694.3115</v>
      </c>
      <c r="M16" s="2">
        <v>1727.5334</v>
      </c>
      <c r="N16" s="2">
        <v>1732.1387999999999</v>
      </c>
      <c r="O16" s="2">
        <v>1800.7351000000001</v>
      </c>
      <c r="P16" s="2">
        <v>1755.8588999999999</v>
      </c>
      <c r="Q16" s="2">
        <v>1663.3887</v>
      </c>
      <c r="R16" s="2">
        <v>1740.5018</v>
      </c>
      <c r="S16" s="2">
        <v>1714.8834999999999</v>
      </c>
      <c r="T16" s="2">
        <v>1764.1348</v>
      </c>
      <c r="U16" s="2">
        <v>1673.0239999999999</v>
      </c>
      <c r="V16" s="2">
        <v>1709.2357999999999</v>
      </c>
      <c r="W16" s="2">
        <f t="shared" si="0"/>
        <v>1719.7614000000001</v>
      </c>
      <c r="X16" s="2">
        <f t="shared" si="4"/>
        <v>37.49180069689627</v>
      </c>
      <c r="Y16" s="2">
        <f t="shared" si="1"/>
        <v>2.180058274182469</v>
      </c>
      <c r="Z16" s="2">
        <f t="shared" si="2"/>
        <v>1649.8162</v>
      </c>
      <c r="AA16" s="2">
        <f t="shared" si="3"/>
        <v>1800.7351000000001</v>
      </c>
    </row>
    <row r="17" spans="1:27" x14ac:dyDescent="0.25">
      <c r="A17" t="s">
        <v>35</v>
      </c>
      <c r="B17" t="s">
        <v>28</v>
      </c>
      <c r="C17" s="2">
        <v>2228.1406999999999</v>
      </c>
      <c r="D17" s="2">
        <v>2131.6801</v>
      </c>
      <c r="E17" s="2">
        <v>2128.2664</v>
      </c>
      <c r="F17" s="2">
        <v>2166.8616999999999</v>
      </c>
      <c r="G17" s="2">
        <v>2272.8551000000002</v>
      </c>
      <c r="H17" s="2">
        <v>2145.4520000000002</v>
      </c>
      <c r="I17" s="2">
        <v>2128.1595000000002</v>
      </c>
      <c r="J17" s="2">
        <v>2249.3008</v>
      </c>
      <c r="K17" s="2">
        <v>2091.8197</v>
      </c>
      <c r="L17" s="2">
        <v>2093.7134999999998</v>
      </c>
      <c r="M17" s="2">
        <v>2257.1518000000001</v>
      </c>
      <c r="N17" s="2">
        <v>2200.1718000000001</v>
      </c>
      <c r="O17" s="2">
        <v>2195.8906999999999</v>
      </c>
      <c r="P17" s="2">
        <v>2234.2413000000001</v>
      </c>
      <c r="Q17" s="2">
        <v>2213.3204000000001</v>
      </c>
      <c r="R17" s="2">
        <v>2202.1309000000001</v>
      </c>
      <c r="S17" s="2">
        <v>2156.1390000000001</v>
      </c>
      <c r="T17" s="2">
        <v>2209.0319</v>
      </c>
      <c r="U17" s="2">
        <v>2235.3935999999999</v>
      </c>
      <c r="V17" s="2">
        <v>2147.0475999999999</v>
      </c>
      <c r="W17" s="2">
        <f t="shared" si="0"/>
        <v>2184.3384250000004</v>
      </c>
      <c r="X17" s="2">
        <f t="shared" si="4"/>
        <v>54.46976450382337</v>
      </c>
      <c r="Y17" s="2">
        <f t="shared" si="1"/>
        <v>2.4936504289083943</v>
      </c>
      <c r="Z17" s="2">
        <f t="shared" si="2"/>
        <v>2091.8197</v>
      </c>
      <c r="AA17" s="2">
        <f t="shared" si="3"/>
        <v>2272.8551000000002</v>
      </c>
    </row>
    <row r="18" spans="1:27" x14ac:dyDescent="0.25">
      <c r="A18" t="s">
        <v>35</v>
      </c>
      <c r="B18" t="s">
        <v>29</v>
      </c>
      <c r="C18" s="2">
        <v>26.3218</v>
      </c>
      <c r="D18" s="2">
        <v>28.9895</v>
      </c>
      <c r="E18" s="2">
        <v>24.837</v>
      </c>
      <c r="F18" s="2">
        <v>26.113499999999998</v>
      </c>
      <c r="G18" s="2">
        <v>27.988499999999998</v>
      </c>
      <c r="H18" s="2">
        <v>24.029900000000001</v>
      </c>
      <c r="I18" s="2">
        <v>28.395499999999998</v>
      </c>
      <c r="J18" s="2">
        <v>26.6265</v>
      </c>
      <c r="K18" s="2">
        <v>28.0456</v>
      </c>
      <c r="L18" s="2">
        <v>27.836200000000002</v>
      </c>
      <c r="M18" s="2">
        <v>28.474</v>
      </c>
      <c r="N18" s="2">
        <v>27.182500000000001</v>
      </c>
      <c r="O18" s="2">
        <v>26.09</v>
      </c>
      <c r="P18" s="2">
        <v>27.615200000000002</v>
      </c>
      <c r="Q18" s="2">
        <v>26.456600000000002</v>
      </c>
      <c r="R18" s="2">
        <v>28.23</v>
      </c>
      <c r="S18" s="2">
        <v>23.886299999999999</v>
      </c>
      <c r="T18" s="2">
        <v>26.636199999999999</v>
      </c>
      <c r="U18" s="2">
        <v>29.184999999999999</v>
      </c>
      <c r="V18" s="2">
        <v>26.907800000000002</v>
      </c>
      <c r="W18" s="2">
        <f t="shared" si="0"/>
        <v>26.992379999999997</v>
      </c>
      <c r="X18" s="2">
        <f t="shared" si="4"/>
        <v>1.5111925376651174</v>
      </c>
      <c r="Y18" s="2">
        <f t="shared" si="1"/>
        <v>5.5985894451142046</v>
      </c>
      <c r="Z18" s="2">
        <f t="shared" si="2"/>
        <v>23.886299999999999</v>
      </c>
      <c r="AA18" s="2">
        <f t="shared" si="3"/>
        <v>29.184999999999999</v>
      </c>
    </row>
    <row r="19" spans="1:27" x14ac:dyDescent="0.25">
      <c r="A19" t="s">
        <v>35</v>
      </c>
      <c r="B19" t="s">
        <v>30</v>
      </c>
      <c r="C19" s="2">
        <v>2676.4805999999999</v>
      </c>
      <c r="D19" s="2">
        <v>2905.5749000000001</v>
      </c>
      <c r="E19" s="2">
        <v>2916.7417</v>
      </c>
      <c r="F19" s="2">
        <v>2855.8130000000001</v>
      </c>
      <c r="G19" s="2">
        <v>2889.5425</v>
      </c>
      <c r="H19" s="2">
        <v>2783.8427000000001</v>
      </c>
      <c r="I19" s="2">
        <v>2806.1752999999999</v>
      </c>
      <c r="J19" s="2">
        <v>2816.8863999999999</v>
      </c>
      <c r="K19" s="2">
        <v>2839.9418000000001</v>
      </c>
      <c r="L19" s="2">
        <v>2946.1404000000002</v>
      </c>
      <c r="M19" s="2">
        <v>2766.3816999999999</v>
      </c>
      <c r="N19" s="2">
        <v>2775.9929000000002</v>
      </c>
      <c r="O19" s="2">
        <v>2898.7510000000002</v>
      </c>
      <c r="P19" s="2">
        <v>2724.8912</v>
      </c>
      <c r="Q19" s="2">
        <v>2900.4841000000001</v>
      </c>
      <c r="R19" s="2">
        <v>2913.5637999999999</v>
      </c>
      <c r="S19" s="2">
        <v>2791.2541999999999</v>
      </c>
      <c r="T19" s="2">
        <v>2953.9153999999999</v>
      </c>
      <c r="U19" s="2">
        <v>2877.2647999999999</v>
      </c>
      <c r="V19" s="2">
        <v>2862.3265999999999</v>
      </c>
      <c r="W19" s="2">
        <f t="shared" si="0"/>
        <v>2845.09825</v>
      </c>
      <c r="X19" s="2">
        <f t="shared" si="4"/>
        <v>75.302424671031162</v>
      </c>
      <c r="Y19" s="2">
        <f t="shared" si="1"/>
        <v>2.6467425042713781</v>
      </c>
      <c r="Z19" s="2">
        <f t="shared" si="2"/>
        <v>2676.4805999999999</v>
      </c>
      <c r="AA19" s="2">
        <f t="shared" si="3"/>
        <v>2953.9153999999999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tabSelected="1" workbookViewId="0">
      <selection activeCell="B6" sqref="B6"/>
    </sheetView>
  </sheetViews>
  <sheetFormatPr defaultRowHeight="15" x14ac:dyDescent="0.25"/>
  <cols>
    <col min="1" max="1" width="18" customWidth="1"/>
    <col min="2" max="7" width="23" customWidth="1"/>
  </cols>
  <sheetData>
    <row r="1" spans="1:7" x14ac:dyDescent="0.25">
      <c r="A1" s="3" t="s">
        <v>0</v>
      </c>
      <c r="B1" s="3" t="s">
        <v>36</v>
      </c>
      <c r="C1" s="3" t="s">
        <v>37</v>
      </c>
      <c r="D1" s="3" t="s">
        <v>28</v>
      </c>
      <c r="E1" s="3" t="s">
        <v>29</v>
      </c>
      <c r="F1" s="3" t="s">
        <v>30</v>
      </c>
      <c r="G1" s="3" t="s">
        <v>38</v>
      </c>
    </row>
    <row r="2" spans="1:7" x14ac:dyDescent="0.25">
      <c r="A2" t="s">
        <v>27</v>
      </c>
      <c r="B2" t="s">
        <v>39</v>
      </c>
      <c r="C2" t="s">
        <v>39</v>
      </c>
      <c r="D2" t="str">
        <f>TEXT(Results_Table17!W2,"0.0")&amp;" ± "&amp;TEXT(Results_Table17!X2,"0.0")</f>
        <v>0.2 ± 0.1</v>
      </c>
      <c r="E2" t="str">
        <f>TEXT(Results_Table17!W3,"0.00")&amp;" ± "&amp;TEXT(Results_Table17!X3,"0.00")</f>
        <v>0.12 ± 0.02</v>
      </c>
      <c r="F2" t="str">
        <f>TEXT(Results_Table17!W4,"0.0")&amp;" ± "&amp;TEXT(Results_Table17!X4,"0.0")</f>
        <v>48.0 ± 1.1</v>
      </c>
      <c r="G2">
        <f>1000/Results_Table17!W3</f>
        <v>8331.2505207031572</v>
      </c>
    </row>
    <row r="3" spans="1:7" x14ac:dyDescent="0.25">
      <c r="A3" t="s">
        <v>31</v>
      </c>
      <c r="B3" t="s">
        <v>39</v>
      </c>
      <c r="C3" t="s">
        <v>39</v>
      </c>
      <c r="D3" t="str">
        <f>TEXT(Results_Table17!W5,"0.0")&amp;" ± "&amp;TEXT(Results_Table17!X5,"0.0")</f>
        <v>74.0 ± 2.5</v>
      </c>
      <c r="E3" t="str">
        <f>TEXT(Results_Table17!W6,"0.00")&amp;" ± "&amp;TEXT(Results_Table17!X6,"0.00")</f>
        <v>2.80 ± 0.12</v>
      </c>
      <c r="F3" t="str">
        <f>TEXT(Results_Table17!W7,"0.0")&amp;" ± "&amp;TEXT(Results_Table17!X7,"0.0")</f>
        <v>219.8 ± 5.3</v>
      </c>
      <c r="G3">
        <f>1000/Results_Table17!W6</f>
        <v>357.19452277918771</v>
      </c>
    </row>
    <row r="4" spans="1:7" x14ac:dyDescent="0.25">
      <c r="A4" t="s">
        <v>32</v>
      </c>
      <c r="B4">
        <v>1.98</v>
      </c>
      <c r="C4">
        <v>4.8600000000000003</v>
      </c>
      <c r="D4" t="str">
        <f>TEXT(Results_Table17!W8,"0.0")&amp;" ± "&amp;TEXT(Results_Table17!X8,"0.0")</f>
        <v>990.2 ± 21.2</v>
      </c>
      <c r="E4" t="str">
        <f>TEXT(Results_Table17!W9,"0.00")&amp;" ± "&amp;TEXT(Results_Table17!X9,"0.00")</f>
        <v>10.20 ± 0.41</v>
      </c>
      <c r="F4" t="str">
        <f>TEXT(Results_Table17!W10,"0.0")&amp;" ± "&amp;TEXT(Results_Table17!X10,"0.0")</f>
        <v>1450.2 ± 31.2</v>
      </c>
      <c r="G4">
        <f>1000/Results_Table17!W9</f>
        <v>98.013703295857781</v>
      </c>
    </row>
    <row r="5" spans="1:7" x14ac:dyDescent="0.25">
      <c r="A5" t="s">
        <v>33</v>
      </c>
      <c r="B5">
        <v>2.3199999999999998</v>
      </c>
      <c r="C5">
        <v>5.59</v>
      </c>
      <c r="D5" t="str">
        <f>TEXT(Results_Table17!W11,"0.0")&amp;" ± "&amp;TEXT(Results_Table17!X11,"0.0")</f>
        <v>1094.3 ± 27.3</v>
      </c>
      <c r="E5" t="str">
        <f>TEXT(Results_Table17!W12,"0.00")&amp;" ± "&amp;TEXT(Results_Table17!X12,"0.00")</f>
        <v>11.57 ± 0.47</v>
      </c>
      <c r="F5" t="str">
        <f>TEXT(Results_Table17!W13,"0.0")&amp;" ± "&amp;TEXT(Results_Table17!X13,"0.0")</f>
        <v>1584.4 ± 43.3</v>
      </c>
      <c r="G5">
        <f>1000/Results_Table17!W12</f>
        <v>86.422729869337488</v>
      </c>
    </row>
    <row r="6" spans="1:7" x14ac:dyDescent="0.25">
      <c r="A6" t="s">
        <v>34</v>
      </c>
      <c r="B6">
        <v>2.66</v>
      </c>
      <c r="C6">
        <v>6.32</v>
      </c>
      <c r="D6" t="str">
        <f>TEXT(Results_Table17!W14,"0.0")&amp;" ± "&amp;TEXT(Results_Table17!X14,"0.0")</f>
        <v>1199.7 ± 24.0</v>
      </c>
      <c r="E6" t="str">
        <f>TEXT(Results_Table17!W15,"0.00")&amp;" ± "&amp;TEXT(Results_Table17!X15,"0.00")</f>
        <v>12.90 ± 0.43</v>
      </c>
      <c r="F6" t="str">
        <f>TEXT(Results_Table17!W16,"0.0")&amp;" ± "&amp;TEXT(Results_Table17!X16,"0.0")</f>
        <v>1719.8 ± 37.5</v>
      </c>
      <c r="G6">
        <f>1000/Results_Table17!W15</f>
        <v>77.505981524124124</v>
      </c>
    </row>
    <row r="7" spans="1:7" x14ac:dyDescent="0.25">
      <c r="A7" t="s">
        <v>35</v>
      </c>
      <c r="B7">
        <v>4.9000000000000004</v>
      </c>
      <c r="C7">
        <v>11.02</v>
      </c>
      <c r="D7" t="str">
        <f>TEXT(Results_Table17!W17,"0.0")&amp;" ± "&amp;TEXT(Results_Table17!X17,"0.0")</f>
        <v>2184.3 ± 54.5</v>
      </c>
      <c r="E7" t="str">
        <f>TEXT(Results_Table17!W18,"0.00")&amp;" ± "&amp;TEXT(Results_Table17!X18,"0.00")</f>
        <v>26.99 ± 1.51</v>
      </c>
      <c r="F7" t="str">
        <f>TEXT(Results_Table17!W19,"0.0")&amp;" ± "&amp;TEXT(Results_Table17!X19,"0.0")</f>
        <v>2845.1 ± 75.3</v>
      </c>
      <c r="G7">
        <f>1000/Results_Table17!W18</f>
        <v>37.047492662744084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Results_Table17</vt:lpstr>
      <vt:lpstr>Table17_Summary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Inzamam Mashood Nasir</cp:lastModifiedBy>
  <dcterms:created xsi:type="dcterms:W3CDTF">2026-09-26T17:55:10Z</dcterms:created>
  <dcterms:modified xsi:type="dcterms:W3CDTF">2026-09-26T17:58:24Z</dcterms:modified>
</cp:coreProperties>
</file>