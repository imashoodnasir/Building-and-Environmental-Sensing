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inzam\Downloads\"/>
    </mc:Choice>
  </mc:AlternateContent>
  <xr:revisionPtr revIDLastSave="0" documentId="13_ncr:1_{8E1546BF-69E6-4767-8DC8-AF53C2F4FF2E}" xr6:coauthVersionLast="47" xr6:coauthVersionMax="47" xr10:uidLastSave="{00000000-0000-0000-0000-000000000000}"/>
  <bookViews>
    <workbookView xWindow="-28920" yWindow="-120" windowWidth="29040" windowHeight="15720" activeTab="1" xr2:uid="{00000000-000D-0000-FFFF-FFFF00000000}"/>
  </bookViews>
  <sheets>
    <sheet name="Results_Table3" sheetId="1" r:id="rId1"/>
    <sheet name="Table3_Summary" sheetId="3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Y3" i="1" l="1"/>
  <c r="Y4" i="1"/>
  <c r="Y5" i="1"/>
  <c r="Y6" i="1"/>
  <c r="Y7" i="1"/>
  <c r="Y8" i="1"/>
  <c r="Y9" i="1"/>
  <c r="Y10" i="1"/>
  <c r="Y11" i="1"/>
  <c r="Y12" i="1"/>
  <c r="Y13" i="1"/>
  <c r="Y14" i="1"/>
  <c r="Y15" i="1"/>
  <c r="Y16" i="1"/>
  <c r="Y17" i="1"/>
  <c r="Y18" i="1"/>
  <c r="Y19" i="1"/>
  <c r="Y20" i="1"/>
  <c r="Y21" i="1"/>
  <c r="Y22" i="1"/>
  <c r="Y23" i="1"/>
  <c r="Y24" i="1"/>
  <c r="Y25" i="1"/>
  <c r="Y26" i="1"/>
  <c r="Y27" i="1"/>
  <c r="Y28" i="1"/>
  <c r="Y29" i="1"/>
  <c r="Y30" i="1"/>
  <c r="Y31" i="1"/>
  <c r="Y32" i="1"/>
  <c r="Y33" i="1"/>
  <c r="Y34" i="1"/>
  <c r="Y35" i="1"/>
  <c r="Y36" i="1"/>
  <c r="Y37" i="1"/>
  <c r="Y38" i="1"/>
  <c r="Y39" i="1"/>
  <c r="Y40" i="1"/>
  <c r="Y41" i="1"/>
  <c r="Y42" i="1"/>
  <c r="Y43" i="1"/>
  <c r="Y44" i="1"/>
  <c r="Y45" i="1"/>
  <c r="Y46" i="1"/>
  <c r="Y47" i="1"/>
  <c r="Y48" i="1"/>
  <c r="Y49" i="1"/>
  <c r="Y50" i="1"/>
  <c r="Y51" i="1"/>
  <c r="Y52" i="1"/>
  <c r="Y53" i="1"/>
  <c r="Y54" i="1"/>
  <c r="Y55" i="1"/>
  <c r="Y56" i="1"/>
  <c r="Y57" i="1"/>
  <c r="Y58" i="1"/>
  <c r="Y59" i="1"/>
  <c r="Y60" i="1"/>
  <c r="Y61" i="1"/>
  <c r="Y62" i="1"/>
  <c r="Y63" i="1"/>
  <c r="Y64" i="1"/>
  <c r="Y65" i="1"/>
  <c r="Y66" i="1"/>
  <c r="Y67" i="1"/>
  <c r="Y68" i="1"/>
  <c r="Y69" i="1"/>
  <c r="Y70" i="1"/>
  <c r="Y71" i="1"/>
  <c r="Y72" i="1"/>
  <c r="Y73" i="1"/>
  <c r="Y74" i="1"/>
  <c r="Y75" i="1"/>
  <c r="Y76" i="1"/>
  <c r="Y77" i="1"/>
  <c r="Y78" i="1"/>
  <c r="Y79" i="1"/>
  <c r="Y80" i="1"/>
  <c r="Y81" i="1"/>
  <c r="Y82" i="1"/>
  <c r="Y83" i="1"/>
  <c r="Y84" i="1"/>
  <c r="Y85" i="1"/>
  <c r="Y86" i="1"/>
  <c r="Y87" i="1"/>
  <c r="Y88" i="1"/>
  <c r="Y89" i="1"/>
  <c r="Y90" i="1"/>
  <c r="Y91" i="1"/>
  <c r="Y92" i="1"/>
  <c r="Y93" i="1"/>
  <c r="Y94" i="1"/>
  <c r="Y95" i="1"/>
  <c r="Y96" i="1"/>
  <c r="Y97" i="1"/>
  <c r="Y98" i="1"/>
  <c r="Y99" i="1"/>
  <c r="Y100" i="1"/>
  <c r="Y101" i="1"/>
  <c r="Y102" i="1"/>
  <c r="Y103" i="1"/>
  <c r="Y104" i="1"/>
  <c r="Y105" i="1"/>
  <c r="Y106" i="1"/>
  <c r="Y107" i="1"/>
  <c r="Y108" i="1"/>
  <c r="Y109" i="1"/>
  <c r="Y110" i="1"/>
  <c r="Y111" i="1"/>
  <c r="Y112" i="1"/>
  <c r="Y113" i="1"/>
  <c r="Y114" i="1"/>
  <c r="Y115" i="1"/>
  <c r="Y116" i="1"/>
  <c r="Y117" i="1"/>
  <c r="Y118" i="1"/>
  <c r="Y119" i="1"/>
  <c r="Y120" i="1"/>
  <c r="Y121" i="1"/>
  <c r="Y122" i="1"/>
  <c r="Y123" i="1"/>
  <c r="Y124" i="1"/>
  <c r="Y125" i="1"/>
  <c r="Y126" i="1"/>
  <c r="Y127" i="1"/>
  <c r="Y128" i="1"/>
  <c r="Y129" i="1"/>
  <c r="Y130" i="1"/>
  <c r="Y131" i="1"/>
  <c r="Y132" i="1"/>
  <c r="Y133" i="1"/>
  <c r="Y134" i="1"/>
  <c r="Y135" i="1"/>
  <c r="Y136" i="1"/>
  <c r="Y137" i="1"/>
  <c r="Y138" i="1"/>
  <c r="Y139" i="1"/>
  <c r="Y140" i="1"/>
  <c r="Y141" i="1"/>
  <c r="Y142" i="1"/>
  <c r="Y143" i="1"/>
  <c r="Y144" i="1"/>
  <c r="Y145" i="1"/>
  <c r="Y146" i="1"/>
  <c r="Y147" i="1"/>
  <c r="Y148" i="1"/>
  <c r="Y149" i="1"/>
  <c r="Y150" i="1"/>
  <c r="Y151" i="1"/>
  <c r="Y152" i="1"/>
  <c r="Y153" i="1"/>
  <c r="Y154" i="1"/>
  <c r="Y155" i="1"/>
  <c r="Y156" i="1"/>
  <c r="Y157" i="1"/>
  <c r="Y158" i="1"/>
  <c r="Y159" i="1"/>
  <c r="Y160" i="1"/>
  <c r="Y161" i="1"/>
  <c r="Y162" i="1"/>
  <c r="Y163" i="1"/>
  <c r="Y164" i="1"/>
  <c r="Y165" i="1"/>
  <c r="Y166" i="1"/>
  <c r="Y167" i="1"/>
  <c r="Y168" i="1"/>
  <c r="Y169" i="1"/>
  <c r="Y170" i="1"/>
  <c r="Y171" i="1"/>
  <c r="Y172" i="1"/>
  <c r="Y173" i="1"/>
  <c r="Y174" i="1"/>
  <c r="Y175" i="1"/>
  <c r="Y176" i="1"/>
  <c r="Y2" i="1"/>
  <c r="AB176" i="1"/>
  <c r="AA176" i="1"/>
  <c r="X176" i="1"/>
  <c r="G36" i="3" s="1"/>
  <c r="AB175" i="1"/>
  <c r="AA175" i="1"/>
  <c r="X175" i="1"/>
  <c r="F36" i="3" s="1"/>
  <c r="AB174" i="1"/>
  <c r="AA174" i="1"/>
  <c r="X174" i="1"/>
  <c r="E36" i="3" s="1"/>
  <c r="AB173" i="1"/>
  <c r="AA173" i="1"/>
  <c r="X173" i="1"/>
  <c r="D36" i="3" s="1"/>
  <c r="AB172" i="1"/>
  <c r="AA172" i="1"/>
  <c r="X172" i="1"/>
  <c r="C36" i="3" s="1"/>
  <c r="AB171" i="1"/>
  <c r="AA171" i="1"/>
  <c r="X171" i="1"/>
  <c r="G35" i="3" s="1"/>
  <c r="AB170" i="1"/>
  <c r="AA170" i="1"/>
  <c r="X170" i="1"/>
  <c r="AB169" i="1"/>
  <c r="AA169" i="1"/>
  <c r="X169" i="1"/>
  <c r="E35" i="3" s="1"/>
  <c r="AB168" i="1"/>
  <c r="AA168" i="1"/>
  <c r="X168" i="1"/>
  <c r="D35" i="3" s="1"/>
  <c r="AB167" i="1"/>
  <c r="AA167" i="1"/>
  <c r="X167" i="1"/>
  <c r="C35" i="3" s="1"/>
  <c r="AB166" i="1"/>
  <c r="AA166" i="1"/>
  <c r="X166" i="1"/>
  <c r="G34" i="3" s="1"/>
  <c r="AB165" i="1"/>
  <c r="AA165" i="1"/>
  <c r="X165" i="1"/>
  <c r="F34" i="3" s="1"/>
  <c r="AB164" i="1"/>
  <c r="AA164" i="1"/>
  <c r="X164" i="1"/>
  <c r="AB163" i="1"/>
  <c r="AA163" i="1"/>
  <c r="X163" i="1"/>
  <c r="D34" i="3" s="1"/>
  <c r="AB162" i="1"/>
  <c r="AA162" i="1"/>
  <c r="X162" i="1"/>
  <c r="C34" i="3" s="1"/>
  <c r="AB161" i="1"/>
  <c r="AA161" i="1"/>
  <c r="X161" i="1"/>
  <c r="G33" i="3" s="1"/>
  <c r="AB160" i="1"/>
  <c r="AA160" i="1"/>
  <c r="X160" i="1"/>
  <c r="F33" i="3" s="1"/>
  <c r="AB159" i="1"/>
  <c r="AA159" i="1"/>
  <c r="X159" i="1"/>
  <c r="E33" i="3" s="1"/>
  <c r="AB158" i="1"/>
  <c r="AA158" i="1"/>
  <c r="Z158" i="1"/>
  <c r="X158" i="1"/>
  <c r="AB157" i="1"/>
  <c r="AA157" i="1"/>
  <c r="X157" i="1"/>
  <c r="C33" i="3" s="1"/>
  <c r="AB156" i="1"/>
  <c r="AA156" i="1"/>
  <c r="X156" i="1"/>
  <c r="G32" i="3" s="1"/>
  <c r="AB155" i="1"/>
  <c r="AA155" i="1"/>
  <c r="X155" i="1"/>
  <c r="AB154" i="1"/>
  <c r="AA154" i="1"/>
  <c r="X154" i="1"/>
  <c r="E32" i="3" s="1"/>
  <c r="AB153" i="1"/>
  <c r="AA153" i="1"/>
  <c r="X153" i="1"/>
  <c r="D32" i="3" s="1"/>
  <c r="AB152" i="1"/>
  <c r="AA152" i="1"/>
  <c r="X152" i="1"/>
  <c r="C32" i="3" s="1"/>
  <c r="AB151" i="1"/>
  <c r="AA151" i="1"/>
  <c r="X151" i="1"/>
  <c r="AB150" i="1"/>
  <c r="AA150" i="1"/>
  <c r="X150" i="1"/>
  <c r="F31" i="3" s="1"/>
  <c r="AB149" i="1"/>
  <c r="AA149" i="1"/>
  <c r="X149" i="1"/>
  <c r="E31" i="3" s="1"/>
  <c r="AB148" i="1"/>
  <c r="AA148" i="1"/>
  <c r="X148" i="1"/>
  <c r="D31" i="3" s="1"/>
  <c r="AB147" i="1"/>
  <c r="AA147" i="1"/>
  <c r="X147" i="1"/>
  <c r="C31" i="3" s="1"/>
  <c r="AB146" i="1"/>
  <c r="AA146" i="1"/>
  <c r="X146" i="1"/>
  <c r="G30" i="3" s="1"/>
  <c r="AB145" i="1"/>
  <c r="AA145" i="1"/>
  <c r="X145" i="1"/>
  <c r="F30" i="3" s="1"/>
  <c r="AB144" i="1"/>
  <c r="AA144" i="1"/>
  <c r="X144" i="1"/>
  <c r="AB143" i="1"/>
  <c r="AA143" i="1"/>
  <c r="X143" i="1"/>
  <c r="D30" i="3" s="1"/>
  <c r="AB142" i="1"/>
  <c r="AA142" i="1"/>
  <c r="X142" i="1"/>
  <c r="C30" i="3" s="1"/>
  <c r="AB141" i="1"/>
  <c r="AA141" i="1"/>
  <c r="X141" i="1"/>
  <c r="G29" i="3" s="1"/>
  <c r="AB140" i="1"/>
  <c r="AA140" i="1"/>
  <c r="X140" i="1"/>
  <c r="F29" i="3" s="1"/>
  <c r="AB139" i="1"/>
  <c r="AA139" i="1"/>
  <c r="X139" i="1"/>
  <c r="E29" i="3" s="1"/>
  <c r="AB138" i="1"/>
  <c r="AA138" i="1"/>
  <c r="X138" i="1"/>
  <c r="AB137" i="1"/>
  <c r="AA137" i="1"/>
  <c r="X137" i="1"/>
  <c r="C29" i="3" s="1"/>
  <c r="AB136" i="1"/>
  <c r="AA136" i="1"/>
  <c r="X136" i="1"/>
  <c r="G28" i="3" s="1"/>
  <c r="AB135" i="1"/>
  <c r="AA135" i="1"/>
  <c r="Z135" i="1"/>
  <c r="X135" i="1"/>
  <c r="F28" i="3" s="1"/>
  <c r="AB134" i="1"/>
  <c r="AA134" i="1"/>
  <c r="X134" i="1"/>
  <c r="AB133" i="1"/>
  <c r="AA133" i="1"/>
  <c r="X133" i="1"/>
  <c r="AB132" i="1"/>
  <c r="AA132" i="1"/>
  <c r="X132" i="1"/>
  <c r="C28" i="3" s="1"/>
  <c r="AB131" i="1"/>
  <c r="AA131" i="1"/>
  <c r="X131" i="1"/>
  <c r="AB130" i="1"/>
  <c r="AA130" i="1"/>
  <c r="X130" i="1"/>
  <c r="F27" i="3" s="1"/>
  <c r="AB129" i="1"/>
  <c r="AA129" i="1"/>
  <c r="X129" i="1"/>
  <c r="E27" i="3" s="1"/>
  <c r="AB128" i="1"/>
  <c r="AA128" i="1"/>
  <c r="X128" i="1"/>
  <c r="D27" i="3" s="1"/>
  <c r="AB127" i="1"/>
  <c r="AA127" i="1"/>
  <c r="Z127" i="1"/>
  <c r="X127" i="1"/>
  <c r="AB126" i="1"/>
  <c r="AA126" i="1"/>
  <c r="X126" i="1"/>
  <c r="G26" i="3" s="1"/>
  <c r="AB125" i="1"/>
  <c r="AA125" i="1"/>
  <c r="X125" i="1"/>
  <c r="AB124" i="1"/>
  <c r="AA124" i="1"/>
  <c r="X124" i="1"/>
  <c r="AB123" i="1"/>
  <c r="AA123" i="1"/>
  <c r="X123" i="1"/>
  <c r="D26" i="3" s="1"/>
  <c r="AB122" i="1"/>
  <c r="AA122" i="1"/>
  <c r="X122" i="1"/>
  <c r="C26" i="3" s="1"/>
  <c r="AB121" i="1"/>
  <c r="AA121" i="1"/>
  <c r="X121" i="1"/>
  <c r="AB120" i="1"/>
  <c r="AA120" i="1"/>
  <c r="X120" i="1"/>
  <c r="F25" i="3" s="1"/>
  <c r="AB119" i="1"/>
  <c r="AA119" i="1"/>
  <c r="X119" i="1"/>
  <c r="E25" i="3" s="1"/>
  <c r="AB118" i="1"/>
  <c r="AA118" i="1"/>
  <c r="X118" i="1"/>
  <c r="AB117" i="1"/>
  <c r="AA117" i="1"/>
  <c r="X117" i="1"/>
  <c r="C25" i="3" s="1"/>
  <c r="AB116" i="1"/>
  <c r="AA116" i="1"/>
  <c r="X116" i="1"/>
  <c r="AB115" i="1"/>
  <c r="AA115" i="1"/>
  <c r="X115" i="1"/>
  <c r="F24" i="3" s="1"/>
  <c r="AB114" i="1"/>
  <c r="AA114" i="1"/>
  <c r="Z114" i="1"/>
  <c r="X114" i="1"/>
  <c r="E24" i="3" s="1"/>
  <c r="AB113" i="1"/>
  <c r="AA113" i="1"/>
  <c r="X113" i="1"/>
  <c r="D24" i="3" s="1"/>
  <c r="AB112" i="1"/>
  <c r="AA112" i="1"/>
  <c r="X112" i="1"/>
  <c r="C24" i="3" s="1"/>
  <c r="AB111" i="1"/>
  <c r="AA111" i="1"/>
  <c r="Z111" i="1"/>
  <c r="X111" i="1"/>
  <c r="AB110" i="1"/>
  <c r="AA110" i="1"/>
  <c r="Z110" i="1"/>
  <c r="X110" i="1"/>
  <c r="F23" i="3" s="1"/>
  <c r="AB109" i="1"/>
  <c r="AA109" i="1"/>
  <c r="X109" i="1"/>
  <c r="AB108" i="1"/>
  <c r="AA108" i="1"/>
  <c r="Z108" i="1"/>
  <c r="X108" i="1"/>
  <c r="AB107" i="1"/>
  <c r="AA107" i="1"/>
  <c r="X107" i="1"/>
  <c r="C23" i="3" s="1"/>
  <c r="AB106" i="1"/>
  <c r="AA106" i="1"/>
  <c r="X106" i="1"/>
  <c r="G22" i="3" s="1"/>
  <c r="AB105" i="1"/>
  <c r="AA105" i="1"/>
  <c r="X105" i="1"/>
  <c r="F22" i="3" s="1"/>
  <c r="AB104" i="1"/>
  <c r="AA104" i="1"/>
  <c r="X104" i="1"/>
  <c r="AB103" i="1"/>
  <c r="AA103" i="1"/>
  <c r="X103" i="1"/>
  <c r="D22" i="3" s="1"/>
  <c r="AB102" i="1"/>
  <c r="AA102" i="1"/>
  <c r="X102" i="1"/>
  <c r="AB101" i="1"/>
  <c r="AA101" i="1"/>
  <c r="X101" i="1"/>
  <c r="G21" i="3" s="1"/>
  <c r="AB100" i="1"/>
  <c r="AA100" i="1"/>
  <c r="X100" i="1"/>
  <c r="AB99" i="1"/>
  <c r="AA99" i="1"/>
  <c r="X99" i="1"/>
  <c r="E21" i="3" s="1"/>
  <c r="AB98" i="1"/>
  <c r="AA98" i="1"/>
  <c r="X98" i="1"/>
  <c r="D21" i="3" s="1"/>
  <c r="AB97" i="1"/>
  <c r="AA97" i="1"/>
  <c r="X97" i="1"/>
  <c r="C21" i="3" s="1"/>
  <c r="AB96" i="1"/>
  <c r="AA96" i="1"/>
  <c r="Z96" i="1"/>
  <c r="X96" i="1"/>
  <c r="G20" i="3" s="1"/>
  <c r="AB95" i="1"/>
  <c r="AA95" i="1"/>
  <c r="X95" i="1"/>
  <c r="F20" i="3" s="1"/>
  <c r="AB94" i="1"/>
  <c r="AA94" i="1"/>
  <c r="Z94" i="1"/>
  <c r="X94" i="1"/>
  <c r="E20" i="3" s="1"/>
  <c r="AB93" i="1"/>
  <c r="AA93" i="1"/>
  <c r="X93" i="1"/>
  <c r="D20" i="3" s="1"/>
  <c r="AB92" i="1"/>
  <c r="AA92" i="1"/>
  <c r="Z92" i="1"/>
  <c r="X92" i="1"/>
  <c r="AB91" i="1"/>
  <c r="AA91" i="1"/>
  <c r="Z91" i="1"/>
  <c r="X91" i="1"/>
  <c r="AB90" i="1"/>
  <c r="AA90" i="1"/>
  <c r="Z90" i="1"/>
  <c r="X90" i="1"/>
  <c r="F19" i="3" s="1"/>
  <c r="AB89" i="1"/>
  <c r="AA89" i="1"/>
  <c r="Z89" i="1"/>
  <c r="X89" i="1"/>
  <c r="AB88" i="1"/>
  <c r="AA88" i="1"/>
  <c r="X88" i="1"/>
  <c r="D19" i="3" s="1"/>
  <c r="AB87" i="1"/>
  <c r="AA87" i="1"/>
  <c r="X87" i="1"/>
  <c r="C19" i="3" s="1"/>
  <c r="AB86" i="1"/>
  <c r="AA86" i="1"/>
  <c r="X86" i="1"/>
  <c r="AB85" i="1"/>
  <c r="AA85" i="1"/>
  <c r="X85" i="1"/>
  <c r="F18" i="3" s="1"/>
  <c r="AB84" i="1"/>
  <c r="AA84" i="1"/>
  <c r="X84" i="1"/>
  <c r="E18" i="3" s="1"/>
  <c r="AB83" i="1"/>
  <c r="AA83" i="1"/>
  <c r="Z83" i="1"/>
  <c r="X83" i="1"/>
  <c r="AB82" i="1"/>
  <c r="AA82" i="1"/>
  <c r="X82" i="1"/>
  <c r="C18" i="3" s="1"/>
  <c r="AB81" i="1"/>
  <c r="AA81" i="1"/>
  <c r="Z81" i="1"/>
  <c r="X81" i="1"/>
  <c r="G17" i="3" s="1"/>
  <c r="AB80" i="1"/>
  <c r="AA80" i="1"/>
  <c r="Z80" i="1"/>
  <c r="X80" i="1"/>
  <c r="AB79" i="1"/>
  <c r="AA79" i="1"/>
  <c r="X79" i="1"/>
  <c r="E17" i="3" s="1"/>
  <c r="AB78" i="1"/>
  <c r="AA78" i="1"/>
  <c r="Z78" i="1"/>
  <c r="X78" i="1"/>
  <c r="D17" i="3" s="1"/>
  <c r="AB77" i="1"/>
  <c r="AA77" i="1"/>
  <c r="Z77" i="1"/>
  <c r="X77" i="1"/>
  <c r="C17" i="3" s="1"/>
  <c r="AB76" i="1"/>
  <c r="AA76" i="1"/>
  <c r="X76" i="1"/>
  <c r="AB75" i="1"/>
  <c r="AA75" i="1"/>
  <c r="Z75" i="1"/>
  <c r="X75" i="1"/>
  <c r="F16" i="3" s="1"/>
  <c r="AB74" i="1"/>
  <c r="AA74" i="1"/>
  <c r="X74" i="1"/>
  <c r="E16" i="3" s="1"/>
  <c r="AB73" i="1"/>
  <c r="AA73" i="1"/>
  <c r="X73" i="1"/>
  <c r="D16" i="3" s="1"/>
  <c r="AB72" i="1"/>
  <c r="AA72" i="1"/>
  <c r="X72" i="1"/>
  <c r="C16" i="3" s="1"/>
  <c r="AB71" i="1"/>
  <c r="AA71" i="1"/>
  <c r="X71" i="1"/>
  <c r="G15" i="3" s="1"/>
  <c r="AB70" i="1"/>
  <c r="AA70" i="1"/>
  <c r="Z70" i="1"/>
  <c r="X70" i="1"/>
  <c r="AB69" i="1"/>
  <c r="AA69" i="1"/>
  <c r="Z69" i="1"/>
  <c r="X69" i="1"/>
  <c r="E15" i="3" s="1"/>
  <c r="AB68" i="1"/>
  <c r="AA68" i="1"/>
  <c r="X68" i="1"/>
  <c r="AB67" i="1"/>
  <c r="AA67" i="1"/>
  <c r="X67" i="1"/>
  <c r="C15" i="3" s="1"/>
  <c r="AB66" i="1"/>
  <c r="AA66" i="1"/>
  <c r="Z66" i="1"/>
  <c r="X66" i="1"/>
  <c r="AB65" i="1"/>
  <c r="AA65" i="1"/>
  <c r="X65" i="1"/>
  <c r="F14" i="3" s="1"/>
  <c r="AB64" i="1"/>
  <c r="AA64" i="1"/>
  <c r="Z64" i="1"/>
  <c r="X64" i="1"/>
  <c r="AB63" i="1"/>
  <c r="AA63" i="1"/>
  <c r="Z63" i="1"/>
  <c r="X63" i="1"/>
  <c r="D14" i="3" s="1"/>
  <c r="AB62" i="1"/>
  <c r="AA62" i="1"/>
  <c r="X62" i="1"/>
  <c r="C14" i="3" s="1"/>
  <c r="AB61" i="1"/>
  <c r="AA61" i="1"/>
  <c r="X61" i="1"/>
  <c r="G13" i="3" s="1"/>
  <c r="AB60" i="1"/>
  <c r="AA60" i="1"/>
  <c r="Z60" i="1"/>
  <c r="X60" i="1"/>
  <c r="F13" i="3" s="1"/>
  <c r="AB59" i="1"/>
  <c r="AA59" i="1"/>
  <c r="X59" i="1"/>
  <c r="AB58" i="1"/>
  <c r="AA58" i="1"/>
  <c r="Z58" i="1"/>
  <c r="X58" i="1"/>
  <c r="AB57" i="1"/>
  <c r="AA57" i="1"/>
  <c r="Z57" i="1"/>
  <c r="X57" i="1"/>
  <c r="C13" i="3" s="1"/>
  <c r="AB56" i="1"/>
  <c r="AA56" i="1"/>
  <c r="X56" i="1"/>
  <c r="AB55" i="1"/>
  <c r="AA55" i="1"/>
  <c r="X55" i="1"/>
  <c r="AB54" i="1"/>
  <c r="AA54" i="1"/>
  <c r="Z54" i="1"/>
  <c r="X54" i="1"/>
  <c r="AB53" i="1"/>
  <c r="AA53" i="1"/>
  <c r="Z53" i="1"/>
  <c r="X53" i="1"/>
  <c r="D12" i="3" s="1"/>
  <c r="AB52" i="1"/>
  <c r="AA52" i="1"/>
  <c r="Z52" i="1"/>
  <c r="X52" i="1"/>
  <c r="AB51" i="1"/>
  <c r="AA51" i="1"/>
  <c r="X51" i="1"/>
  <c r="G11" i="3" s="1"/>
  <c r="AB50" i="1"/>
  <c r="AA50" i="1"/>
  <c r="X50" i="1"/>
  <c r="F11" i="3" s="1"/>
  <c r="AB49" i="1"/>
  <c r="AA49" i="1"/>
  <c r="X49" i="1"/>
  <c r="E11" i="3" s="1"/>
  <c r="AB48" i="1"/>
  <c r="AA48" i="1"/>
  <c r="Z48" i="1"/>
  <c r="X48" i="1"/>
  <c r="D11" i="3" s="1"/>
  <c r="AB47" i="1"/>
  <c r="AA47" i="1"/>
  <c r="Z47" i="1"/>
  <c r="X47" i="1"/>
  <c r="AB46" i="1"/>
  <c r="AA46" i="1"/>
  <c r="Z46" i="1"/>
  <c r="X46" i="1"/>
  <c r="AB45" i="1"/>
  <c r="AA45" i="1"/>
  <c r="X45" i="1"/>
  <c r="F10" i="3" s="1"/>
  <c r="AB44" i="1"/>
  <c r="AA44" i="1"/>
  <c r="Z44" i="1"/>
  <c r="X44" i="1"/>
  <c r="AB43" i="1"/>
  <c r="AA43" i="1"/>
  <c r="Z43" i="1"/>
  <c r="X43" i="1"/>
  <c r="D10" i="3" s="1"/>
  <c r="AB42" i="1"/>
  <c r="AA42" i="1"/>
  <c r="Z42" i="1"/>
  <c r="X42" i="1"/>
  <c r="C10" i="3" s="1"/>
  <c r="AB41" i="1"/>
  <c r="AA41" i="1"/>
  <c r="X41" i="1"/>
  <c r="G9" i="3" s="1"/>
  <c r="AB40" i="1"/>
  <c r="AA40" i="1"/>
  <c r="Z40" i="1"/>
  <c r="X40" i="1"/>
  <c r="F9" i="3" s="1"/>
  <c r="AB39" i="1"/>
  <c r="AA39" i="1"/>
  <c r="Z39" i="1"/>
  <c r="X39" i="1"/>
  <c r="E9" i="3" s="1"/>
  <c r="AB38" i="1"/>
  <c r="AA38" i="1"/>
  <c r="X38" i="1"/>
  <c r="D9" i="3" s="1"/>
  <c r="AB37" i="1"/>
  <c r="AA37" i="1"/>
  <c r="Z37" i="1"/>
  <c r="X37" i="1"/>
  <c r="C9" i="3" s="1"/>
  <c r="AB36" i="1"/>
  <c r="AA36" i="1"/>
  <c r="Z36" i="1"/>
  <c r="X36" i="1"/>
  <c r="G8" i="3" s="1"/>
  <c r="AB35" i="1"/>
  <c r="AA35" i="1"/>
  <c r="Z35" i="1"/>
  <c r="X35" i="1"/>
  <c r="F8" i="3" s="1"/>
  <c r="AB34" i="1"/>
  <c r="AA34" i="1"/>
  <c r="X34" i="1"/>
  <c r="E8" i="3" s="1"/>
  <c r="AB33" i="1"/>
  <c r="AA33" i="1"/>
  <c r="Z33" i="1"/>
  <c r="X33" i="1"/>
  <c r="AB32" i="1"/>
  <c r="AA32" i="1"/>
  <c r="Z32" i="1"/>
  <c r="X32" i="1"/>
  <c r="C8" i="3" s="1"/>
  <c r="AB31" i="1"/>
  <c r="AA31" i="1"/>
  <c r="X31" i="1"/>
  <c r="G7" i="3" s="1"/>
  <c r="AB30" i="1"/>
  <c r="AA30" i="1"/>
  <c r="X30" i="1"/>
  <c r="F7" i="3" s="1"/>
  <c r="AB29" i="1"/>
  <c r="AA29" i="1"/>
  <c r="X29" i="1"/>
  <c r="E7" i="3" s="1"/>
  <c r="AB28" i="1"/>
  <c r="AA28" i="1"/>
  <c r="Z28" i="1"/>
  <c r="X28" i="1"/>
  <c r="D7" i="3" s="1"/>
  <c r="AB27" i="1"/>
  <c r="AA27" i="1"/>
  <c r="X27" i="1"/>
  <c r="C7" i="3" s="1"/>
  <c r="AB26" i="1"/>
  <c r="AA26" i="1"/>
  <c r="X26" i="1"/>
  <c r="AB25" i="1"/>
  <c r="AA25" i="1"/>
  <c r="X25" i="1"/>
  <c r="AB24" i="1"/>
  <c r="AA24" i="1"/>
  <c r="X24" i="1"/>
  <c r="AB23" i="1"/>
  <c r="AA23" i="1"/>
  <c r="Z23" i="1"/>
  <c r="X23" i="1"/>
  <c r="AB22" i="1"/>
  <c r="AA22" i="1"/>
  <c r="Z22" i="1"/>
  <c r="X22" i="1"/>
  <c r="C6" i="3" s="1"/>
  <c r="AB21" i="1"/>
  <c r="AA21" i="1"/>
  <c r="X21" i="1"/>
  <c r="G5" i="3" s="1"/>
  <c r="AB20" i="1"/>
  <c r="AA20" i="1"/>
  <c r="Z20" i="1"/>
  <c r="X20" i="1"/>
  <c r="AB19" i="1"/>
  <c r="AA19" i="1"/>
  <c r="Z19" i="1"/>
  <c r="X19" i="1"/>
  <c r="AB18" i="1"/>
  <c r="AA18" i="1"/>
  <c r="Z18" i="1"/>
  <c r="X18" i="1"/>
  <c r="D5" i="3" s="1"/>
  <c r="AB17" i="1"/>
  <c r="AA17" i="1"/>
  <c r="X17" i="1"/>
  <c r="C5" i="3" s="1"/>
  <c r="AB16" i="1"/>
  <c r="AA16" i="1"/>
  <c r="X16" i="1"/>
  <c r="G4" i="3" s="1"/>
  <c r="AB15" i="1"/>
  <c r="AA15" i="1"/>
  <c r="Z15" i="1"/>
  <c r="X15" i="1"/>
  <c r="F4" i="3" s="1"/>
  <c r="AB14" i="1"/>
  <c r="AA14" i="1"/>
  <c r="X14" i="1"/>
  <c r="E4" i="3" s="1"/>
  <c r="AB13" i="1"/>
  <c r="AA13" i="1"/>
  <c r="X13" i="1"/>
  <c r="D4" i="3" s="1"/>
  <c r="AB12" i="1"/>
  <c r="AA12" i="1"/>
  <c r="X12" i="1"/>
  <c r="C4" i="3" s="1"/>
  <c r="AB11" i="1"/>
  <c r="AA11" i="1"/>
  <c r="Z11" i="1"/>
  <c r="X11" i="1"/>
  <c r="G3" i="3" s="1"/>
  <c r="AB10" i="1"/>
  <c r="AA10" i="1"/>
  <c r="Z10" i="1"/>
  <c r="X10" i="1"/>
  <c r="F3" i="3" s="1"/>
  <c r="AB9" i="1"/>
  <c r="AA9" i="1"/>
  <c r="X9" i="1"/>
  <c r="E3" i="3" s="1"/>
  <c r="AB8" i="1"/>
  <c r="AA8" i="1"/>
  <c r="X8" i="1"/>
  <c r="D3" i="3" s="1"/>
  <c r="AB7" i="1"/>
  <c r="AA7" i="1"/>
  <c r="X7" i="1"/>
  <c r="AB6" i="1"/>
  <c r="AA6" i="1"/>
  <c r="Z6" i="1"/>
  <c r="X6" i="1"/>
  <c r="G2" i="3" s="1"/>
  <c r="AB5" i="1"/>
  <c r="AA5" i="1"/>
  <c r="X5" i="1"/>
  <c r="AB4" i="1"/>
  <c r="AA4" i="1"/>
  <c r="Z4" i="1"/>
  <c r="X4" i="1"/>
  <c r="E2" i="3" s="1"/>
  <c r="AB3" i="1"/>
  <c r="AA3" i="1"/>
  <c r="X3" i="1"/>
  <c r="D2" i="3" s="1"/>
  <c r="AB2" i="1"/>
  <c r="AA2" i="1"/>
  <c r="X2" i="1"/>
  <c r="C2" i="3" s="1"/>
  <c r="G6" i="3" l="1"/>
  <c r="D6" i="3"/>
  <c r="E34" i="3"/>
  <c r="G10" i="3"/>
  <c r="E12" i="3"/>
  <c r="D29" i="3"/>
  <c r="E22" i="3"/>
  <c r="G16" i="3"/>
  <c r="F17" i="3"/>
  <c r="D15" i="3"/>
  <c r="F35" i="3"/>
  <c r="F32" i="3"/>
  <c r="C12" i="3"/>
  <c r="G18" i="3"/>
  <c r="F2" i="3"/>
  <c r="G25" i="3"/>
  <c r="G31" i="3"/>
  <c r="E28" i="3"/>
  <c r="E26" i="3"/>
  <c r="F26" i="3"/>
  <c r="F5" i="3"/>
  <c r="C11" i="3"/>
  <c r="F12" i="3"/>
  <c r="F21" i="3"/>
  <c r="D13" i="3"/>
  <c r="E30" i="3"/>
  <c r="G27" i="3"/>
  <c r="G14" i="3"/>
  <c r="G23" i="3"/>
  <c r="C20" i="3"/>
  <c r="D25" i="3"/>
  <c r="C22" i="3"/>
  <c r="G12" i="3"/>
  <c r="E13" i="3"/>
  <c r="E6" i="3"/>
  <c r="E5" i="3"/>
  <c r="Z176" i="1"/>
  <c r="Z175" i="1"/>
  <c r="Z174" i="1"/>
  <c r="Z173" i="1"/>
  <c r="Z172" i="1"/>
  <c r="Z171" i="1"/>
  <c r="Z165" i="1"/>
  <c r="Z141" i="1"/>
  <c r="Z140" i="1"/>
  <c r="Z136" i="1"/>
  <c r="Z122" i="1"/>
  <c r="Z121" i="1"/>
  <c r="Z68" i="1"/>
  <c r="Z65" i="1"/>
  <c r="Z29" i="1"/>
  <c r="Z26" i="1"/>
  <c r="Z17" i="1"/>
  <c r="Z13" i="1"/>
  <c r="Z12" i="1"/>
  <c r="Z9" i="1"/>
  <c r="Z8" i="1"/>
  <c r="Z170" i="1"/>
  <c r="Z169" i="1"/>
  <c r="Z168" i="1"/>
  <c r="Z167" i="1"/>
  <c r="Z166" i="1"/>
  <c r="Z164" i="1"/>
  <c r="Z163" i="1"/>
  <c r="Z162" i="1"/>
  <c r="Z161" i="1"/>
  <c r="Z160" i="1"/>
  <c r="Z159" i="1"/>
  <c r="Z56" i="1"/>
  <c r="Z157" i="1"/>
  <c r="Z156" i="1"/>
  <c r="Z155" i="1"/>
  <c r="Z154" i="1"/>
  <c r="Z153" i="1"/>
  <c r="Z152" i="1"/>
  <c r="Z146" i="1"/>
  <c r="Z31" i="1"/>
  <c r="Z5" i="1"/>
  <c r="Z151" i="1"/>
  <c r="Z150" i="1"/>
  <c r="Z149" i="1"/>
  <c r="Z148" i="1"/>
  <c r="Z147" i="1"/>
  <c r="Z134" i="1"/>
  <c r="Z145" i="1"/>
  <c r="Z144" i="1"/>
  <c r="Z143" i="1"/>
  <c r="Z142" i="1"/>
  <c r="Z123" i="1"/>
  <c r="Z139" i="1"/>
  <c r="Z138" i="1"/>
  <c r="Z137" i="1"/>
  <c r="Z133" i="1"/>
  <c r="Z132" i="1"/>
  <c r="Z131" i="1"/>
  <c r="Z130" i="1"/>
  <c r="Z129" i="1"/>
  <c r="Z128" i="1"/>
  <c r="Z125" i="1"/>
  <c r="Z124" i="1"/>
  <c r="Z93" i="1"/>
  <c r="C27" i="3"/>
  <c r="Z126" i="1"/>
  <c r="Z71" i="1"/>
  <c r="Z67" i="1"/>
  <c r="Z50" i="1"/>
  <c r="Z45" i="1"/>
  <c r="Z120" i="1"/>
  <c r="Z119" i="1"/>
  <c r="Z118" i="1"/>
  <c r="Z117" i="1"/>
  <c r="Z116" i="1"/>
  <c r="Z115" i="1"/>
  <c r="Z113" i="1"/>
  <c r="Z112" i="1"/>
  <c r="Z109" i="1"/>
  <c r="Z79" i="1"/>
  <c r="Z73" i="1"/>
  <c r="Z72" i="1"/>
  <c r="F15" i="3"/>
  <c r="Z62" i="1"/>
  <c r="Z55" i="1"/>
  <c r="Z49" i="1"/>
  <c r="Z38" i="1"/>
  <c r="Z34" i="1"/>
  <c r="Z107" i="1"/>
  <c r="Z106" i="1"/>
  <c r="Z105" i="1"/>
  <c r="Z104" i="1"/>
  <c r="Z103" i="1"/>
  <c r="Z102" i="1"/>
  <c r="Z2" i="1"/>
  <c r="Z101" i="1"/>
  <c r="Z100" i="1"/>
  <c r="Z99" i="1"/>
  <c r="Z98" i="1"/>
  <c r="Z97" i="1"/>
  <c r="Z84" i="1"/>
  <c r="Z59" i="1"/>
  <c r="Z21" i="1"/>
  <c r="Z16" i="1"/>
  <c r="Z14" i="1"/>
  <c r="Z95" i="1"/>
  <c r="E19" i="3"/>
  <c r="Z88" i="1"/>
  <c r="Z87" i="1"/>
  <c r="Z86" i="1"/>
  <c r="Z85" i="1"/>
  <c r="Z74" i="1"/>
  <c r="E14" i="3"/>
  <c r="Z30" i="1"/>
  <c r="Z27" i="1"/>
  <c r="Z24" i="1"/>
  <c r="Z82" i="1"/>
  <c r="Z76" i="1"/>
  <c r="Z61" i="1"/>
  <c r="Z51" i="1"/>
  <c r="Z3" i="1"/>
  <c r="Z41" i="1"/>
  <c r="Z7" i="1"/>
  <c r="G24" i="3"/>
  <c r="C3" i="3"/>
  <c r="D28" i="3"/>
  <c r="E23" i="3"/>
  <c r="G19" i="3"/>
  <c r="D33" i="3"/>
  <c r="D23" i="3"/>
  <c r="D18" i="3"/>
  <c r="E10" i="3"/>
  <c r="D8" i="3"/>
  <c r="F6" i="3"/>
  <c r="Z25" i="1"/>
</calcChain>
</file>

<file path=xl/sharedStrings.xml><?xml version="1.0" encoding="utf-8"?>
<sst xmlns="http://schemas.openxmlformats.org/spreadsheetml/2006/main" count="630" uniqueCount="45">
  <si>
    <t>Target</t>
  </si>
  <si>
    <t>Method</t>
  </si>
  <si>
    <t>Horizon</t>
  </si>
  <si>
    <t>Seed 1</t>
  </si>
  <si>
    <t>Seed 2</t>
  </si>
  <si>
    <t>Seed 3</t>
  </si>
  <si>
    <t>Seed 4</t>
  </si>
  <si>
    <t>Seed 5</t>
  </si>
  <si>
    <t>Seed 6</t>
  </si>
  <si>
    <t>Seed 7</t>
  </si>
  <si>
    <t>Seed 8</t>
  </si>
  <si>
    <t>Seed 9</t>
  </si>
  <si>
    <t>Seed 10</t>
  </si>
  <si>
    <t>Seed 11</t>
  </si>
  <si>
    <t>Seed 12</t>
  </si>
  <si>
    <t>Seed 13</t>
  </si>
  <si>
    <t>Seed 14</t>
  </si>
  <si>
    <t>Seed 15</t>
  </si>
  <si>
    <t>Seed 16</t>
  </si>
  <si>
    <t>Seed 17</t>
  </si>
  <si>
    <t>Seed 18</t>
  </si>
  <si>
    <t>Seed 19</t>
  </si>
  <si>
    <t>Seed 20</t>
  </si>
  <si>
    <t>Mean</t>
  </si>
  <si>
    <t>SD</t>
  </si>
  <si>
    <t>CV (%)</t>
  </si>
  <si>
    <t>Min</t>
  </si>
  <si>
    <t>Max</t>
  </si>
  <si>
    <t>T</t>
  </si>
  <si>
    <t>Persistence</t>
  </si>
  <si>
    <t>1 h</t>
  </si>
  <si>
    <t>3 h</t>
  </si>
  <si>
    <t>6 h</t>
  </si>
  <si>
    <t>12 h</t>
  </si>
  <si>
    <t>24 h</t>
  </si>
  <si>
    <t>LSTM</t>
  </si>
  <si>
    <t>Transformer</t>
  </si>
  <si>
    <t>Graph WaveNet</t>
  </si>
  <si>
    <t>DCRNN</t>
  </si>
  <si>
    <t>DANN-style</t>
  </si>
  <si>
    <t>Proposed</t>
  </si>
  <si>
    <t>RH</t>
  </si>
  <si>
    <t>P</t>
  </si>
  <si>
    <t>E</t>
  </si>
  <si>
    <t>PM2.5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</si>
</sst>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2">
    <font>
      <sz val="11"/>
      <name val="Carlito"/>
    </font>
    <font>
      <b/>
      <sz val="11"/>
      <color rgb="FFFFFFFF"/>
      <name val="Carlito"/>
    </font>
  </fonts>
  <fills count="4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theme="3" tint="0.49998474074526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0" fontId="1" fillId="2" borderId="0" xfId="0" applyFont="1" applyFill="1" applyAlignment="1">
      <alignment horizontal="center"/>
    </xf>
    <xf numFmtId="0" fontId="1" fillId="3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176"/>
  <sheetViews>
    <sheetView topLeftCell="A21" workbookViewId="0">
      <selection activeCell="L21" sqref="L21"/>
    </sheetView>
  </sheetViews>
  <sheetFormatPr defaultRowHeight="14.25"/>
  <cols>
    <col min="1" max="1" width="12" customWidth="1"/>
    <col min="2" max="2" width="18" customWidth="1"/>
    <col min="3" max="23" width="10" customWidth="1"/>
    <col min="24" max="24" width="12" customWidth="1"/>
    <col min="25" max="25" width="7.875" bestFit="1" customWidth="1"/>
    <col min="26" max="28" width="12" customWidth="1"/>
  </cols>
  <sheetData>
    <row r="1" spans="1:28" ht="1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</row>
    <row r="2" spans="1:28">
      <c r="A2" t="s">
        <v>28</v>
      </c>
      <c r="B2" t="s">
        <v>29</v>
      </c>
      <c r="C2" t="s">
        <v>30</v>
      </c>
      <c r="D2" s="1">
        <v>0.51890000000000003</v>
      </c>
      <c r="E2" s="1">
        <v>0.43840000000000001</v>
      </c>
      <c r="F2" s="1">
        <v>0.44500000000000001</v>
      </c>
      <c r="G2" s="1">
        <v>0.58289999999999997</v>
      </c>
      <c r="H2" s="1">
        <v>0.52529999999999999</v>
      </c>
      <c r="I2" s="1">
        <v>0.42530000000000001</v>
      </c>
      <c r="J2" s="1">
        <v>0.49809999999999999</v>
      </c>
      <c r="K2" s="1">
        <v>0.50309999999999999</v>
      </c>
      <c r="L2" s="1">
        <v>0.57899999999999996</v>
      </c>
      <c r="M2" s="1">
        <v>0.48609999999999998</v>
      </c>
      <c r="N2" s="1">
        <v>0.51100000000000001</v>
      </c>
      <c r="O2" s="1">
        <v>0.49370000000000003</v>
      </c>
      <c r="P2" s="1">
        <v>0.46879999999999999</v>
      </c>
      <c r="Q2" s="1">
        <v>0.50170000000000003</v>
      </c>
      <c r="R2" s="1">
        <v>0.45529999999999998</v>
      </c>
      <c r="S2" s="1">
        <v>0.44540000000000002</v>
      </c>
      <c r="T2" s="1">
        <v>0.4733</v>
      </c>
      <c r="U2" s="1">
        <v>0.52969999999999995</v>
      </c>
      <c r="V2" s="1">
        <v>0.44450000000000001</v>
      </c>
      <c r="W2" s="1">
        <v>0.46700000000000003</v>
      </c>
      <c r="X2" s="1">
        <f t="shared" ref="X2:X33" si="0">AVERAGE(D2:W2)</f>
        <v>0.48962500000000003</v>
      </c>
      <c r="Y2" s="1">
        <f>_xlfn.STDEV.S(D2:W2)</f>
        <v>4.3796465550736408E-2</v>
      </c>
      <c r="Z2" s="1">
        <f t="shared" ref="Z2:Z33" si="1">IFERROR(Y2/X2*100,"")</f>
        <v>8.9448997805946195</v>
      </c>
      <c r="AA2" s="1">
        <f t="shared" ref="AA2:AA33" si="2">MIN(D2:W2)</f>
        <v>0.42530000000000001</v>
      </c>
      <c r="AB2" s="1">
        <f t="shared" ref="AB2:AB33" si="3">MAX(D2:W2)</f>
        <v>0.58289999999999997</v>
      </c>
    </row>
    <row r="3" spans="1:28">
      <c r="A3" t="s">
        <v>28</v>
      </c>
      <c r="B3" t="s">
        <v>29</v>
      </c>
      <c r="C3" t="s">
        <v>31</v>
      </c>
      <c r="D3" s="1">
        <v>0.79449999999999998</v>
      </c>
      <c r="E3" s="1">
        <v>0.82620000000000005</v>
      </c>
      <c r="F3" s="1">
        <v>0.78759999999999997</v>
      </c>
      <c r="G3" s="1">
        <v>0.86599999999999999</v>
      </c>
      <c r="H3" s="1">
        <v>0.76060000000000005</v>
      </c>
      <c r="I3" s="1">
        <v>0.87609999999999999</v>
      </c>
      <c r="J3" s="1">
        <v>0.75160000000000005</v>
      </c>
      <c r="K3" s="1">
        <v>0.86760000000000004</v>
      </c>
      <c r="L3" s="1">
        <v>0.67430000000000001</v>
      </c>
      <c r="M3" s="1">
        <v>0.80549999999999999</v>
      </c>
      <c r="N3" s="1">
        <v>0.8014</v>
      </c>
      <c r="O3" s="1">
        <v>0.88549999999999995</v>
      </c>
      <c r="P3" s="1">
        <v>0.83</v>
      </c>
      <c r="Q3" s="1">
        <v>0.76739999999999997</v>
      </c>
      <c r="R3" s="1">
        <v>0.86160000000000003</v>
      </c>
      <c r="S3" s="1">
        <v>0.74590000000000001</v>
      </c>
      <c r="T3" s="1">
        <v>0.75119999999999998</v>
      </c>
      <c r="U3" s="1">
        <v>0.82899999999999996</v>
      </c>
      <c r="V3" s="1">
        <v>0.89510000000000001</v>
      </c>
      <c r="W3" s="1">
        <v>0.83430000000000004</v>
      </c>
      <c r="X3" s="1">
        <f t="shared" si="0"/>
        <v>0.81057000000000001</v>
      </c>
      <c r="Y3" s="1">
        <f t="shared" ref="Y3:Y66" si="4">_xlfn.STDEV.S(D3:W3)</f>
        <v>5.7362128529838248E-2</v>
      </c>
      <c r="Z3" s="1">
        <f t="shared" si="1"/>
        <v>7.076764317682402</v>
      </c>
      <c r="AA3" s="1">
        <f t="shared" si="2"/>
        <v>0.67430000000000001</v>
      </c>
      <c r="AB3" s="1">
        <f t="shared" si="3"/>
        <v>0.89510000000000001</v>
      </c>
    </row>
    <row r="4" spans="1:28">
      <c r="A4" t="s">
        <v>28</v>
      </c>
      <c r="B4" t="s">
        <v>29</v>
      </c>
      <c r="C4" t="s">
        <v>32</v>
      </c>
      <c r="D4" s="1">
        <v>1.1808000000000001</v>
      </c>
      <c r="E4" s="1">
        <v>1.2572000000000001</v>
      </c>
      <c r="F4" s="1">
        <v>1.2314000000000001</v>
      </c>
      <c r="G4" s="1">
        <v>1.206</v>
      </c>
      <c r="H4" s="1">
        <v>1.2299</v>
      </c>
      <c r="I4" s="1">
        <v>1.1912</v>
      </c>
      <c r="J4" s="1">
        <v>1.2849999999999999</v>
      </c>
      <c r="K4" s="1">
        <v>1.0985</v>
      </c>
      <c r="L4" s="1">
        <v>1.1986000000000001</v>
      </c>
      <c r="M4" s="1">
        <v>1.1529</v>
      </c>
      <c r="N4" s="1">
        <v>1.1241000000000001</v>
      </c>
      <c r="O4" s="1">
        <v>1.0931</v>
      </c>
      <c r="P4" s="1">
        <v>1.2053</v>
      </c>
      <c r="Q4" s="1">
        <v>1.1831</v>
      </c>
      <c r="R4" s="1">
        <v>1.1317999999999999</v>
      </c>
      <c r="S4" s="1">
        <v>1.1678999999999999</v>
      </c>
      <c r="T4" s="1">
        <v>1.2267999999999999</v>
      </c>
      <c r="U4" s="1">
        <v>1.1221000000000001</v>
      </c>
      <c r="V4" s="1">
        <v>1.1129</v>
      </c>
      <c r="W4" s="1">
        <v>1.1967000000000001</v>
      </c>
      <c r="X4" s="1">
        <f t="shared" si="0"/>
        <v>1.179765</v>
      </c>
      <c r="Y4" s="1">
        <f t="shared" si="4"/>
        <v>5.3685304026530871E-2</v>
      </c>
      <c r="Z4" s="1">
        <f t="shared" si="1"/>
        <v>4.5505082814400213</v>
      </c>
      <c r="AA4" s="1">
        <f t="shared" si="2"/>
        <v>1.0931</v>
      </c>
      <c r="AB4" s="1">
        <f t="shared" si="3"/>
        <v>1.2849999999999999</v>
      </c>
    </row>
    <row r="5" spans="1:28">
      <c r="A5" t="s">
        <v>28</v>
      </c>
      <c r="B5" t="s">
        <v>29</v>
      </c>
      <c r="C5" t="s">
        <v>33</v>
      </c>
      <c r="D5" s="1">
        <v>1.6534</v>
      </c>
      <c r="E5" s="1">
        <v>1.62</v>
      </c>
      <c r="F5" s="1">
        <v>1.6917</v>
      </c>
      <c r="G5" s="1">
        <v>1.6573</v>
      </c>
      <c r="H5" s="1">
        <v>1.6149</v>
      </c>
      <c r="I5" s="1">
        <v>1.6687000000000001</v>
      </c>
      <c r="J5" s="1">
        <v>1.6180000000000001</v>
      </c>
      <c r="K5" s="1">
        <v>1.6476999999999999</v>
      </c>
      <c r="L5" s="1">
        <v>1.5840000000000001</v>
      </c>
      <c r="M5" s="1">
        <v>1.6812</v>
      </c>
      <c r="N5" s="1">
        <v>1.5629</v>
      </c>
      <c r="O5" s="1">
        <v>1.581</v>
      </c>
      <c r="P5" s="1">
        <v>1.6653</v>
      </c>
      <c r="Q5" s="1">
        <v>1.7424999999999999</v>
      </c>
      <c r="R5" s="1">
        <v>1.6375</v>
      </c>
      <c r="S5" s="1">
        <v>1.7111000000000001</v>
      </c>
      <c r="T5" s="1">
        <v>1.6315999999999999</v>
      </c>
      <c r="U5" s="1">
        <v>1.5991</v>
      </c>
      <c r="V5" s="1">
        <v>1.7196</v>
      </c>
      <c r="W5" s="1">
        <v>1.5315000000000001</v>
      </c>
      <c r="X5" s="1">
        <f t="shared" si="0"/>
        <v>1.6409499999999997</v>
      </c>
      <c r="Y5" s="1">
        <f t="shared" si="4"/>
        <v>5.4216481277423956E-2</v>
      </c>
      <c r="Z5" s="1">
        <f t="shared" si="1"/>
        <v>3.3039691201696559</v>
      </c>
      <c r="AA5" s="1">
        <f t="shared" si="2"/>
        <v>1.5315000000000001</v>
      </c>
      <c r="AB5" s="1">
        <f t="shared" si="3"/>
        <v>1.7424999999999999</v>
      </c>
    </row>
    <row r="6" spans="1:28">
      <c r="A6" t="s">
        <v>28</v>
      </c>
      <c r="B6" t="s">
        <v>29</v>
      </c>
      <c r="C6" t="s">
        <v>34</v>
      </c>
      <c r="D6" s="1">
        <v>1.8766</v>
      </c>
      <c r="E6" s="1">
        <v>1.8893</v>
      </c>
      <c r="F6" s="1">
        <v>2.1515</v>
      </c>
      <c r="G6" s="1">
        <v>1.9004000000000001</v>
      </c>
      <c r="H6" s="1">
        <v>1.8785000000000001</v>
      </c>
      <c r="I6" s="1">
        <v>2.1545999999999998</v>
      </c>
      <c r="J6" s="1">
        <v>2.1446999999999998</v>
      </c>
      <c r="K6" s="1">
        <v>1.7338</v>
      </c>
      <c r="L6" s="1">
        <v>2.0190000000000001</v>
      </c>
      <c r="M6" s="1">
        <v>2.1695000000000002</v>
      </c>
      <c r="N6" s="1">
        <v>2.0430999999999999</v>
      </c>
      <c r="O6" s="1">
        <v>2.1341999999999999</v>
      </c>
      <c r="P6" s="1">
        <v>1.8844000000000001</v>
      </c>
      <c r="Q6" s="1">
        <v>2.1602000000000001</v>
      </c>
      <c r="R6" s="1">
        <v>2.1663000000000001</v>
      </c>
      <c r="S6" s="1">
        <v>2.0047999999999999</v>
      </c>
      <c r="T6" s="1">
        <v>1.9644999999999999</v>
      </c>
      <c r="U6" s="1">
        <v>2.0600999999999998</v>
      </c>
      <c r="V6" s="1">
        <v>1.9525999999999999</v>
      </c>
      <c r="W6" s="1">
        <v>2.0280999999999998</v>
      </c>
      <c r="X6" s="1">
        <f t="shared" si="0"/>
        <v>2.0158100000000001</v>
      </c>
      <c r="Y6" s="1">
        <f t="shared" si="4"/>
        <v>0.12760806318361581</v>
      </c>
      <c r="Z6" s="1">
        <f t="shared" si="1"/>
        <v>6.3303616503348925</v>
      </c>
      <c r="AA6" s="1">
        <f t="shared" si="2"/>
        <v>1.7338</v>
      </c>
      <c r="AB6" s="1">
        <f t="shared" si="3"/>
        <v>2.1695000000000002</v>
      </c>
    </row>
    <row r="7" spans="1:28">
      <c r="A7" t="s">
        <v>28</v>
      </c>
      <c r="B7" t="s">
        <v>35</v>
      </c>
      <c r="C7" t="s">
        <v>30</v>
      </c>
      <c r="D7" s="1">
        <v>0.36980000000000002</v>
      </c>
      <c r="E7" s="1">
        <v>0.36330000000000001</v>
      </c>
      <c r="F7" s="1">
        <v>0.36120000000000002</v>
      </c>
      <c r="G7" s="1">
        <v>0.40260000000000001</v>
      </c>
      <c r="H7" s="1">
        <v>0.41310000000000002</v>
      </c>
      <c r="I7" s="1">
        <v>0.38140000000000002</v>
      </c>
      <c r="J7" s="1">
        <v>0.38700000000000001</v>
      </c>
      <c r="K7" s="1">
        <v>0.38940000000000002</v>
      </c>
      <c r="L7" s="1">
        <v>0.36930000000000002</v>
      </c>
      <c r="M7" s="1">
        <v>0.40949999999999998</v>
      </c>
      <c r="N7" s="1">
        <v>0.39710000000000001</v>
      </c>
      <c r="O7" s="1">
        <v>0.41639999999999999</v>
      </c>
      <c r="P7" s="1">
        <v>0.46</v>
      </c>
      <c r="Q7" s="1">
        <v>0.37830000000000003</v>
      </c>
      <c r="R7" s="1">
        <v>0.37280000000000002</v>
      </c>
      <c r="S7" s="1">
        <v>0.33510000000000001</v>
      </c>
      <c r="T7" s="1">
        <v>0.40289999999999998</v>
      </c>
      <c r="U7" s="1">
        <v>0.37719999999999998</v>
      </c>
      <c r="V7" s="1">
        <v>0.4173</v>
      </c>
      <c r="W7" s="1">
        <v>0.38769999999999999</v>
      </c>
      <c r="X7" s="1">
        <f t="shared" si="0"/>
        <v>0.38957000000000003</v>
      </c>
      <c r="Y7" s="1">
        <f t="shared" si="4"/>
        <v>2.6858343798137427E-2</v>
      </c>
      <c r="Z7" s="1">
        <f t="shared" si="1"/>
        <v>6.8943562897906467</v>
      </c>
      <c r="AA7" s="1">
        <f t="shared" si="2"/>
        <v>0.33510000000000001</v>
      </c>
      <c r="AB7" s="1">
        <f t="shared" si="3"/>
        <v>0.46</v>
      </c>
    </row>
    <row r="8" spans="1:28">
      <c r="A8" t="s">
        <v>28</v>
      </c>
      <c r="B8" t="s">
        <v>35</v>
      </c>
      <c r="C8" t="s">
        <v>31</v>
      </c>
      <c r="D8" s="1">
        <v>0.5706</v>
      </c>
      <c r="E8" s="1">
        <v>0.62939999999999996</v>
      </c>
      <c r="F8" s="1">
        <v>0.63529999999999998</v>
      </c>
      <c r="G8" s="1">
        <v>0.57250000000000001</v>
      </c>
      <c r="H8" s="1">
        <v>0.54759999999999998</v>
      </c>
      <c r="I8" s="1">
        <v>0.57569999999999999</v>
      </c>
      <c r="J8" s="1">
        <v>0.5111</v>
      </c>
      <c r="K8" s="1">
        <v>0.56540000000000001</v>
      </c>
      <c r="L8" s="1">
        <v>0.69120000000000004</v>
      </c>
      <c r="M8" s="1">
        <v>0.62239999999999995</v>
      </c>
      <c r="N8" s="1">
        <v>0.63049999999999995</v>
      </c>
      <c r="O8" s="1">
        <v>0.64459999999999995</v>
      </c>
      <c r="P8" s="1">
        <v>0.60570000000000002</v>
      </c>
      <c r="Q8" s="1">
        <v>0.62790000000000001</v>
      </c>
      <c r="R8" s="1">
        <v>0.58889999999999998</v>
      </c>
      <c r="S8" s="1">
        <v>0.59660000000000002</v>
      </c>
      <c r="T8" s="1">
        <v>0.63100000000000001</v>
      </c>
      <c r="U8" s="1">
        <v>0.55930000000000002</v>
      </c>
      <c r="V8" s="1">
        <v>0.64990000000000003</v>
      </c>
      <c r="W8" s="1">
        <v>0.54349999999999998</v>
      </c>
      <c r="X8" s="1">
        <f t="shared" si="0"/>
        <v>0.59995500000000013</v>
      </c>
      <c r="Y8" s="1">
        <f t="shared" si="4"/>
        <v>4.4219351265207284E-2</v>
      </c>
      <c r="Z8" s="1">
        <f t="shared" si="1"/>
        <v>7.3704446608841128</v>
      </c>
      <c r="AA8" s="1">
        <f t="shared" si="2"/>
        <v>0.5111</v>
      </c>
      <c r="AB8" s="1">
        <f t="shared" si="3"/>
        <v>0.69120000000000004</v>
      </c>
    </row>
    <row r="9" spans="1:28">
      <c r="A9" t="s">
        <v>28</v>
      </c>
      <c r="B9" t="s">
        <v>35</v>
      </c>
      <c r="C9" t="s">
        <v>32</v>
      </c>
      <c r="D9" s="1">
        <v>0.85240000000000005</v>
      </c>
      <c r="E9" s="1">
        <v>0.80600000000000005</v>
      </c>
      <c r="F9" s="1">
        <v>0.87250000000000005</v>
      </c>
      <c r="G9" s="1">
        <v>0.8498</v>
      </c>
      <c r="H9" s="1">
        <v>0.83809999999999996</v>
      </c>
      <c r="I9" s="1">
        <v>0.89039999999999997</v>
      </c>
      <c r="J9" s="1">
        <v>0.94079999999999997</v>
      </c>
      <c r="K9" s="1">
        <v>0.84950000000000003</v>
      </c>
      <c r="L9" s="1">
        <v>0.86660000000000004</v>
      </c>
      <c r="M9" s="1">
        <v>0.83819999999999995</v>
      </c>
      <c r="N9" s="1">
        <v>0.80510000000000004</v>
      </c>
      <c r="O9" s="1">
        <v>0.82669999999999999</v>
      </c>
      <c r="P9" s="1">
        <v>0.87639999999999996</v>
      </c>
      <c r="Q9" s="1">
        <v>0.86019999999999996</v>
      </c>
      <c r="R9" s="1">
        <v>0.7772</v>
      </c>
      <c r="S9" s="1">
        <v>0.85229999999999995</v>
      </c>
      <c r="T9" s="1">
        <v>0.82920000000000005</v>
      </c>
      <c r="U9" s="1">
        <v>0.86060000000000003</v>
      </c>
      <c r="V9" s="1">
        <v>0.84119999999999995</v>
      </c>
      <c r="W9" s="1">
        <v>0.8538</v>
      </c>
      <c r="X9" s="1">
        <f t="shared" si="0"/>
        <v>0.84935000000000005</v>
      </c>
      <c r="Y9" s="1">
        <f t="shared" si="4"/>
        <v>3.4162899236021019E-2</v>
      </c>
      <c r="Z9" s="1">
        <f t="shared" si="1"/>
        <v>4.0222404469324795</v>
      </c>
      <c r="AA9" s="1">
        <f t="shared" si="2"/>
        <v>0.7772</v>
      </c>
      <c r="AB9" s="1">
        <f t="shared" si="3"/>
        <v>0.94079999999999997</v>
      </c>
    </row>
    <row r="10" spans="1:28">
      <c r="A10" t="s">
        <v>28</v>
      </c>
      <c r="B10" t="s">
        <v>35</v>
      </c>
      <c r="C10" t="s">
        <v>33</v>
      </c>
      <c r="D10" s="1">
        <v>1.2484999999999999</v>
      </c>
      <c r="E10" s="1">
        <v>1.1068</v>
      </c>
      <c r="F10" s="1">
        <v>1.1757</v>
      </c>
      <c r="G10" s="1">
        <v>1.2242</v>
      </c>
      <c r="H10" s="1">
        <v>1.2790999999999999</v>
      </c>
      <c r="I10" s="1">
        <v>1.2233000000000001</v>
      </c>
      <c r="J10" s="1">
        <v>1.2705</v>
      </c>
      <c r="K10" s="1">
        <v>1.0889</v>
      </c>
      <c r="L10" s="1">
        <v>1.1266</v>
      </c>
      <c r="M10" s="1">
        <v>1.2289000000000001</v>
      </c>
      <c r="N10" s="1">
        <v>1.1839999999999999</v>
      </c>
      <c r="O10" s="1">
        <v>1.0781000000000001</v>
      </c>
      <c r="P10" s="1">
        <v>1.2092000000000001</v>
      </c>
      <c r="Q10" s="1">
        <v>1.268</v>
      </c>
      <c r="R10" s="1">
        <v>1.1701999999999999</v>
      </c>
      <c r="S10" s="1">
        <v>1.1146</v>
      </c>
      <c r="T10" s="1">
        <v>1.2633000000000001</v>
      </c>
      <c r="U10" s="1">
        <v>1.3411</v>
      </c>
      <c r="V10" s="1">
        <v>1.3010999999999999</v>
      </c>
      <c r="W10" s="1">
        <v>1.0981000000000001</v>
      </c>
      <c r="X10" s="1">
        <f t="shared" si="0"/>
        <v>1.2000099999999998</v>
      </c>
      <c r="Y10" s="1">
        <f t="shared" si="4"/>
        <v>7.7824674074080377E-2</v>
      </c>
      <c r="Z10" s="1">
        <f t="shared" si="1"/>
        <v>6.4853354617111849</v>
      </c>
      <c r="AA10" s="1">
        <f t="shared" si="2"/>
        <v>1.0781000000000001</v>
      </c>
      <c r="AB10" s="1">
        <f t="shared" si="3"/>
        <v>1.3411</v>
      </c>
    </row>
    <row r="11" spans="1:28">
      <c r="A11" t="s">
        <v>28</v>
      </c>
      <c r="B11" t="s">
        <v>35</v>
      </c>
      <c r="C11" t="s">
        <v>34</v>
      </c>
      <c r="D11" s="1">
        <v>1.4436</v>
      </c>
      <c r="E11" s="1">
        <v>1.5649</v>
      </c>
      <c r="F11" s="1">
        <v>1.4599</v>
      </c>
      <c r="G11" s="1">
        <v>1.4686999999999999</v>
      </c>
      <c r="H11" s="1">
        <v>1.5247999999999999</v>
      </c>
      <c r="I11" s="1">
        <v>1.5533999999999999</v>
      </c>
      <c r="J11" s="1">
        <v>1.4560999999999999</v>
      </c>
      <c r="K11" s="1">
        <v>1.4463999999999999</v>
      </c>
      <c r="L11" s="1">
        <v>1.4558</v>
      </c>
      <c r="M11" s="1">
        <v>1.5111000000000001</v>
      </c>
      <c r="N11" s="1">
        <v>1.5702</v>
      </c>
      <c r="O11" s="1">
        <v>1.7169000000000001</v>
      </c>
      <c r="P11" s="1">
        <v>1.4500999999999999</v>
      </c>
      <c r="Q11" s="1">
        <v>1.3695999999999999</v>
      </c>
      <c r="R11" s="1">
        <v>1.4698</v>
      </c>
      <c r="S11" s="1">
        <v>1.4971000000000001</v>
      </c>
      <c r="T11" s="1">
        <v>1.4862</v>
      </c>
      <c r="U11" s="1">
        <v>1.3395999999999999</v>
      </c>
      <c r="V11" s="1">
        <v>1.5037</v>
      </c>
      <c r="W11" s="1">
        <v>1.5789</v>
      </c>
      <c r="X11" s="1">
        <f t="shared" si="0"/>
        <v>1.4933399999999999</v>
      </c>
      <c r="Y11" s="1">
        <f t="shared" si="4"/>
        <v>8.0780061375251996E-2</v>
      </c>
      <c r="Z11" s="1">
        <f t="shared" si="1"/>
        <v>5.4093549610438352</v>
      </c>
      <c r="AA11" s="1">
        <f t="shared" si="2"/>
        <v>1.3395999999999999</v>
      </c>
      <c r="AB11" s="1">
        <f t="shared" si="3"/>
        <v>1.7169000000000001</v>
      </c>
    </row>
    <row r="12" spans="1:28">
      <c r="A12" t="s">
        <v>28</v>
      </c>
      <c r="B12" t="s">
        <v>36</v>
      </c>
      <c r="C12" t="s">
        <v>30</v>
      </c>
      <c r="D12" s="1">
        <v>0.2762</v>
      </c>
      <c r="E12" s="1">
        <v>0.3306</v>
      </c>
      <c r="F12" s="1">
        <v>0.34100000000000003</v>
      </c>
      <c r="G12" s="1">
        <v>0.31990000000000002</v>
      </c>
      <c r="H12" s="1">
        <v>0.3735</v>
      </c>
      <c r="I12" s="1">
        <v>0.39689999999999998</v>
      </c>
      <c r="J12" s="1">
        <v>0.28760000000000002</v>
      </c>
      <c r="K12" s="1">
        <v>0.40200000000000002</v>
      </c>
      <c r="L12" s="1">
        <v>0.34039999999999998</v>
      </c>
      <c r="M12" s="1">
        <v>0.36459999999999998</v>
      </c>
      <c r="N12" s="1">
        <v>0.32950000000000002</v>
      </c>
      <c r="O12" s="1">
        <v>0.30709999999999998</v>
      </c>
      <c r="P12" s="1">
        <v>0.26889999999999997</v>
      </c>
      <c r="Q12" s="1">
        <v>0.28399999999999997</v>
      </c>
      <c r="R12" s="1">
        <v>0.29459999999999997</v>
      </c>
      <c r="S12" s="1">
        <v>0.36720000000000003</v>
      </c>
      <c r="T12" s="1">
        <v>0.35210000000000002</v>
      </c>
      <c r="U12" s="1">
        <v>0.34279999999999999</v>
      </c>
      <c r="V12" s="1">
        <v>0.30409999999999998</v>
      </c>
      <c r="W12" s="1">
        <v>0.31990000000000002</v>
      </c>
      <c r="X12" s="1">
        <f t="shared" si="0"/>
        <v>0.33014499999999997</v>
      </c>
      <c r="Y12" s="1">
        <f t="shared" si="4"/>
        <v>3.8531101245071302E-2</v>
      </c>
      <c r="Z12" s="1">
        <f t="shared" si="1"/>
        <v>11.670963135916432</v>
      </c>
      <c r="AA12" s="1">
        <f t="shared" si="2"/>
        <v>0.26889999999999997</v>
      </c>
      <c r="AB12" s="1">
        <f t="shared" si="3"/>
        <v>0.40200000000000002</v>
      </c>
    </row>
    <row r="13" spans="1:28">
      <c r="A13" t="s">
        <v>28</v>
      </c>
      <c r="B13" t="s">
        <v>36</v>
      </c>
      <c r="C13" t="s">
        <v>31</v>
      </c>
      <c r="D13" s="1">
        <v>0.46060000000000001</v>
      </c>
      <c r="E13" s="1">
        <v>0.54479999999999995</v>
      </c>
      <c r="F13" s="1">
        <v>0.51459999999999995</v>
      </c>
      <c r="G13" s="1">
        <v>0.48559999999999998</v>
      </c>
      <c r="H13" s="1">
        <v>0.51180000000000003</v>
      </c>
      <c r="I13" s="1">
        <v>0.48849999999999999</v>
      </c>
      <c r="J13" s="1">
        <v>0.48249999999999998</v>
      </c>
      <c r="K13" s="1">
        <v>0.53059999999999996</v>
      </c>
      <c r="L13" s="1">
        <v>0.52739999999999998</v>
      </c>
      <c r="M13" s="1">
        <v>0.53669999999999995</v>
      </c>
      <c r="N13" s="1">
        <v>0.48520000000000002</v>
      </c>
      <c r="O13" s="1">
        <v>0.45550000000000002</v>
      </c>
      <c r="P13" s="1">
        <v>0.4743</v>
      </c>
      <c r="Q13" s="1">
        <v>0.50460000000000005</v>
      </c>
      <c r="R13" s="1">
        <v>0.56499999999999995</v>
      </c>
      <c r="S13" s="1">
        <v>0.5302</v>
      </c>
      <c r="T13" s="1">
        <v>0.5635</v>
      </c>
      <c r="U13" s="1">
        <v>0.50700000000000001</v>
      </c>
      <c r="V13" s="1">
        <v>0.50039999999999996</v>
      </c>
      <c r="W13" s="1">
        <v>0.53939999999999999</v>
      </c>
      <c r="X13" s="1">
        <f t="shared" si="0"/>
        <v>0.51041000000000003</v>
      </c>
      <c r="Y13" s="1">
        <f t="shared" si="4"/>
        <v>3.1686007205572277E-2</v>
      </c>
      <c r="Z13" s="1">
        <f t="shared" si="1"/>
        <v>6.207951882912222</v>
      </c>
      <c r="AA13" s="1">
        <f t="shared" si="2"/>
        <v>0.45550000000000002</v>
      </c>
      <c r="AB13" s="1">
        <f t="shared" si="3"/>
        <v>0.56499999999999995</v>
      </c>
    </row>
    <row r="14" spans="1:28">
      <c r="A14" t="s">
        <v>28</v>
      </c>
      <c r="B14" t="s">
        <v>36</v>
      </c>
      <c r="C14" t="s">
        <v>32</v>
      </c>
      <c r="D14" s="1">
        <v>0.68240000000000001</v>
      </c>
      <c r="E14" s="1">
        <v>0.69469999999999998</v>
      </c>
      <c r="F14" s="1">
        <v>0.70420000000000005</v>
      </c>
      <c r="G14" s="1">
        <v>0.68400000000000005</v>
      </c>
      <c r="H14" s="1">
        <v>0.78480000000000005</v>
      </c>
      <c r="I14" s="1">
        <v>0.66520000000000001</v>
      </c>
      <c r="J14" s="1">
        <v>0.754</v>
      </c>
      <c r="K14" s="1">
        <v>0.69920000000000004</v>
      </c>
      <c r="L14" s="1">
        <v>0.7198</v>
      </c>
      <c r="M14" s="1">
        <v>0.67969999999999997</v>
      </c>
      <c r="N14" s="1">
        <v>0.75819999999999999</v>
      </c>
      <c r="O14" s="1">
        <v>0.67549999999999999</v>
      </c>
      <c r="P14" s="1">
        <v>0.72550000000000003</v>
      </c>
      <c r="Q14" s="1">
        <v>0.69330000000000003</v>
      </c>
      <c r="R14" s="1">
        <v>0.65690000000000004</v>
      </c>
      <c r="S14" s="1">
        <v>0.7712</v>
      </c>
      <c r="T14" s="1">
        <v>0.68640000000000001</v>
      </c>
      <c r="U14" s="1">
        <v>0.69730000000000003</v>
      </c>
      <c r="V14" s="1">
        <v>0.69359999999999999</v>
      </c>
      <c r="W14" s="1">
        <v>0.78110000000000002</v>
      </c>
      <c r="X14" s="1">
        <f t="shared" si="0"/>
        <v>0.71035000000000026</v>
      </c>
      <c r="Y14" s="1">
        <f t="shared" si="4"/>
        <v>3.9076167188009409E-2</v>
      </c>
      <c r="Z14" s="1">
        <f t="shared" si="1"/>
        <v>5.5009737718039551</v>
      </c>
      <c r="AA14" s="1">
        <f t="shared" si="2"/>
        <v>0.65690000000000004</v>
      </c>
      <c r="AB14" s="1">
        <f t="shared" si="3"/>
        <v>0.78480000000000005</v>
      </c>
    </row>
    <row r="15" spans="1:28">
      <c r="A15" t="s">
        <v>28</v>
      </c>
      <c r="B15" t="s">
        <v>36</v>
      </c>
      <c r="C15" t="s">
        <v>33</v>
      </c>
      <c r="D15" s="1">
        <v>1.1886000000000001</v>
      </c>
      <c r="E15" s="1">
        <v>0.77790000000000004</v>
      </c>
      <c r="F15" s="1">
        <v>0.80359999999999998</v>
      </c>
      <c r="G15" s="1">
        <v>1.1775</v>
      </c>
      <c r="H15" s="1">
        <v>0.93940000000000001</v>
      </c>
      <c r="I15" s="1">
        <v>0.80289999999999995</v>
      </c>
      <c r="J15" s="1">
        <v>0.88839999999999997</v>
      </c>
      <c r="K15" s="1">
        <v>1.2265999999999999</v>
      </c>
      <c r="L15" s="1">
        <v>1.1283000000000001</v>
      </c>
      <c r="M15" s="1">
        <v>1.0427999999999999</v>
      </c>
      <c r="N15" s="1">
        <v>1.0651999999999999</v>
      </c>
      <c r="O15" s="1">
        <v>0.94620000000000004</v>
      </c>
      <c r="P15" s="1">
        <v>0.91669999999999996</v>
      </c>
      <c r="Q15" s="1">
        <v>1.028</v>
      </c>
      <c r="R15" s="1">
        <v>1.1661999999999999</v>
      </c>
      <c r="S15" s="1">
        <v>0.95930000000000004</v>
      </c>
      <c r="T15" s="1">
        <v>1.1318999999999999</v>
      </c>
      <c r="U15" s="1">
        <v>0.92349999999999999</v>
      </c>
      <c r="V15" s="1">
        <v>1.1093</v>
      </c>
      <c r="W15" s="1">
        <v>1.1759999999999999</v>
      </c>
      <c r="X15" s="1">
        <f t="shared" si="0"/>
        <v>1.0199150000000001</v>
      </c>
      <c r="Y15" s="1">
        <f t="shared" si="4"/>
        <v>0.14178944833059498</v>
      </c>
      <c r="Z15" s="1">
        <f t="shared" si="1"/>
        <v>13.902084813988907</v>
      </c>
      <c r="AA15" s="1">
        <f t="shared" si="2"/>
        <v>0.77790000000000004</v>
      </c>
      <c r="AB15" s="1">
        <f t="shared" si="3"/>
        <v>1.2265999999999999</v>
      </c>
    </row>
    <row r="16" spans="1:28">
      <c r="A16" t="s">
        <v>28</v>
      </c>
      <c r="B16" t="s">
        <v>36</v>
      </c>
      <c r="C16" t="s">
        <v>34</v>
      </c>
      <c r="D16" s="1">
        <v>1.3010999999999999</v>
      </c>
      <c r="E16" s="1">
        <v>1.2785</v>
      </c>
      <c r="F16" s="1">
        <v>1.2881</v>
      </c>
      <c r="G16" s="1">
        <v>1.2733000000000001</v>
      </c>
      <c r="H16" s="1">
        <v>1.2974000000000001</v>
      </c>
      <c r="I16" s="1">
        <v>1.2317</v>
      </c>
      <c r="J16" s="1">
        <v>1.2464999999999999</v>
      </c>
      <c r="K16" s="1">
        <v>1.2386999999999999</v>
      </c>
      <c r="L16" s="1">
        <v>1.2582</v>
      </c>
      <c r="M16" s="1">
        <v>1.2964</v>
      </c>
      <c r="N16" s="1">
        <v>1.252</v>
      </c>
      <c r="O16" s="1">
        <v>1.2432000000000001</v>
      </c>
      <c r="P16" s="1">
        <v>1.3113999999999999</v>
      </c>
      <c r="Q16" s="1">
        <v>1.2454000000000001</v>
      </c>
      <c r="R16" s="1">
        <v>1.2998000000000001</v>
      </c>
      <c r="S16" s="1">
        <v>1.3072999999999999</v>
      </c>
      <c r="T16" s="1">
        <v>1.2242</v>
      </c>
      <c r="U16" s="1">
        <v>1.2341</v>
      </c>
      <c r="V16" s="1">
        <v>1.2917000000000001</v>
      </c>
      <c r="W16" s="1">
        <v>1.2788999999999999</v>
      </c>
      <c r="X16" s="1">
        <f t="shared" si="0"/>
        <v>1.2698950000000002</v>
      </c>
      <c r="Y16" s="1">
        <f t="shared" si="4"/>
        <v>2.8599567074382527E-2</v>
      </c>
      <c r="Z16" s="1">
        <f t="shared" si="1"/>
        <v>2.252120614254133</v>
      </c>
      <c r="AA16" s="1">
        <f t="shared" si="2"/>
        <v>1.2242</v>
      </c>
      <c r="AB16" s="1">
        <f t="shared" si="3"/>
        <v>1.3113999999999999</v>
      </c>
    </row>
    <row r="17" spans="1:28">
      <c r="A17" t="s">
        <v>28</v>
      </c>
      <c r="B17" t="s">
        <v>37</v>
      </c>
      <c r="C17" t="s">
        <v>30</v>
      </c>
      <c r="D17" s="1">
        <v>0.29949999999999999</v>
      </c>
      <c r="E17" s="1">
        <v>0.28620000000000001</v>
      </c>
      <c r="F17" s="1">
        <v>0.26779999999999998</v>
      </c>
      <c r="G17" s="1">
        <v>0.30170000000000002</v>
      </c>
      <c r="H17" s="1">
        <v>0.30259999999999998</v>
      </c>
      <c r="I17" s="1">
        <v>0.28060000000000002</v>
      </c>
      <c r="J17" s="1">
        <v>0.27839999999999998</v>
      </c>
      <c r="K17" s="1">
        <v>0.28129999999999999</v>
      </c>
      <c r="L17" s="1">
        <v>0.28220000000000001</v>
      </c>
      <c r="M17" s="1">
        <v>0.30890000000000001</v>
      </c>
      <c r="N17" s="1">
        <v>0.28960000000000002</v>
      </c>
      <c r="O17" s="1">
        <v>0.2717</v>
      </c>
      <c r="P17" s="1">
        <v>0.26769999999999999</v>
      </c>
      <c r="Q17" s="1">
        <v>0.3175</v>
      </c>
      <c r="R17" s="1">
        <v>0.28299999999999997</v>
      </c>
      <c r="S17" s="1">
        <v>0.29160000000000003</v>
      </c>
      <c r="T17" s="1">
        <v>0.29449999999999998</v>
      </c>
      <c r="U17" s="1">
        <v>0.3004</v>
      </c>
      <c r="V17" s="1">
        <v>0.29120000000000001</v>
      </c>
      <c r="W17" s="1">
        <v>0.30399999999999999</v>
      </c>
      <c r="X17" s="1">
        <f t="shared" si="0"/>
        <v>0.29002000000000006</v>
      </c>
      <c r="Y17" s="1">
        <f t="shared" si="4"/>
        <v>1.371866189577272E-2</v>
      </c>
      <c r="Z17" s="1">
        <f t="shared" si="1"/>
        <v>4.7302468435875866</v>
      </c>
      <c r="AA17" s="1">
        <f t="shared" si="2"/>
        <v>0.26769999999999999</v>
      </c>
      <c r="AB17" s="1">
        <f t="shared" si="3"/>
        <v>0.3175</v>
      </c>
    </row>
    <row r="18" spans="1:28">
      <c r="A18" t="s">
        <v>28</v>
      </c>
      <c r="B18" t="s">
        <v>37</v>
      </c>
      <c r="C18" t="s">
        <v>31</v>
      </c>
      <c r="D18" s="1">
        <v>0.48120000000000002</v>
      </c>
      <c r="E18" s="1">
        <v>0.4713</v>
      </c>
      <c r="F18" s="1">
        <v>0.48409999999999997</v>
      </c>
      <c r="G18" s="1">
        <v>0.4274</v>
      </c>
      <c r="H18" s="1">
        <v>0.44209999999999999</v>
      </c>
      <c r="I18" s="1">
        <v>0.4627</v>
      </c>
      <c r="J18" s="1">
        <v>0.46879999999999999</v>
      </c>
      <c r="K18" s="1">
        <v>0.44729999999999998</v>
      </c>
      <c r="L18" s="1">
        <v>0.47289999999999999</v>
      </c>
      <c r="M18" s="1">
        <v>0.37530000000000002</v>
      </c>
      <c r="N18" s="1">
        <v>0.48770000000000002</v>
      </c>
      <c r="O18" s="1">
        <v>0.41870000000000002</v>
      </c>
      <c r="P18" s="1">
        <v>0.42520000000000002</v>
      </c>
      <c r="Q18" s="1">
        <v>0.39560000000000001</v>
      </c>
      <c r="R18" s="1">
        <v>0.4516</v>
      </c>
      <c r="S18" s="1">
        <v>0.46450000000000002</v>
      </c>
      <c r="T18" s="1">
        <v>0.4304</v>
      </c>
      <c r="U18" s="1">
        <v>0.47570000000000001</v>
      </c>
      <c r="V18" s="1">
        <v>0.39629999999999999</v>
      </c>
      <c r="W18" s="1">
        <v>0.51170000000000004</v>
      </c>
      <c r="X18" s="1">
        <f t="shared" si="0"/>
        <v>0.44952499999999995</v>
      </c>
      <c r="Y18" s="1">
        <f t="shared" si="4"/>
        <v>3.5324464088757161E-2</v>
      </c>
      <c r="Z18" s="1">
        <f t="shared" si="1"/>
        <v>7.858175649576145</v>
      </c>
      <c r="AA18" s="1">
        <f t="shared" si="2"/>
        <v>0.37530000000000002</v>
      </c>
      <c r="AB18" s="1">
        <f t="shared" si="3"/>
        <v>0.51170000000000004</v>
      </c>
    </row>
    <row r="19" spans="1:28">
      <c r="A19" t="s">
        <v>28</v>
      </c>
      <c r="B19" t="s">
        <v>37</v>
      </c>
      <c r="C19" t="s">
        <v>32</v>
      </c>
      <c r="D19" s="1">
        <v>0.64070000000000005</v>
      </c>
      <c r="E19" s="1">
        <v>0.61680000000000001</v>
      </c>
      <c r="F19" s="1">
        <v>0.58979999999999999</v>
      </c>
      <c r="G19" s="1">
        <v>0.67469999999999997</v>
      </c>
      <c r="H19" s="1">
        <v>0.69169999999999998</v>
      </c>
      <c r="I19" s="1">
        <v>0.67510000000000003</v>
      </c>
      <c r="J19" s="1">
        <v>0.65269999999999995</v>
      </c>
      <c r="K19" s="1">
        <v>0.63239999999999996</v>
      </c>
      <c r="L19" s="1">
        <v>0.63639999999999997</v>
      </c>
      <c r="M19" s="1">
        <v>0.65200000000000002</v>
      </c>
      <c r="N19" s="1">
        <v>0.59340000000000004</v>
      </c>
      <c r="O19" s="1">
        <v>0.6008</v>
      </c>
      <c r="P19" s="1">
        <v>0.69079999999999997</v>
      </c>
      <c r="Q19" s="1">
        <v>0.65200000000000002</v>
      </c>
      <c r="R19" s="1">
        <v>0.62949999999999995</v>
      </c>
      <c r="S19" s="1">
        <v>0.68089999999999995</v>
      </c>
      <c r="T19" s="1">
        <v>0.5796</v>
      </c>
      <c r="U19" s="1">
        <v>0.60189999999999999</v>
      </c>
      <c r="V19" s="1">
        <v>0.68430000000000002</v>
      </c>
      <c r="W19" s="1">
        <v>0.60819999999999996</v>
      </c>
      <c r="X19" s="1">
        <f t="shared" si="0"/>
        <v>0.63918499999999989</v>
      </c>
      <c r="Y19" s="1">
        <f t="shared" si="4"/>
        <v>3.6142907508360397E-2</v>
      </c>
      <c r="Z19" s="1">
        <f t="shared" si="1"/>
        <v>5.6545299887138158</v>
      </c>
      <c r="AA19" s="1">
        <f t="shared" si="2"/>
        <v>0.5796</v>
      </c>
      <c r="AB19" s="1">
        <f t="shared" si="3"/>
        <v>0.69169999999999998</v>
      </c>
    </row>
    <row r="20" spans="1:28">
      <c r="A20" t="s">
        <v>28</v>
      </c>
      <c r="B20" t="s">
        <v>37</v>
      </c>
      <c r="C20" t="s">
        <v>33</v>
      </c>
      <c r="D20" s="1">
        <v>1.0002</v>
      </c>
      <c r="E20" s="1">
        <v>0.96609999999999996</v>
      </c>
      <c r="F20" s="1">
        <v>1.0505</v>
      </c>
      <c r="G20" s="1">
        <v>0.77159999999999995</v>
      </c>
      <c r="H20" s="1">
        <v>0.93149999999999999</v>
      </c>
      <c r="I20" s="1">
        <v>1.0142</v>
      </c>
      <c r="J20" s="1">
        <v>0.90529999999999999</v>
      </c>
      <c r="K20" s="1">
        <v>0.97640000000000005</v>
      </c>
      <c r="L20" s="1">
        <v>0.9496</v>
      </c>
      <c r="M20" s="1">
        <v>0.8921</v>
      </c>
      <c r="N20" s="1">
        <v>1.1657999999999999</v>
      </c>
      <c r="O20" s="1">
        <v>0.91500000000000004</v>
      </c>
      <c r="P20" s="1">
        <v>0.85670000000000002</v>
      </c>
      <c r="Q20" s="1">
        <v>0.89529999999999998</v>
      </c>
      <c r="R20" s="1">
        <v>0.88929999999999998</v>
      </c>
      <c r="S20" s="1">
        <v>0.92210000000000003</v>
      </c>
      <c r="T20" s="1">
        <v>0.86160000000000003</v>
      </c>
      <c r="U20" s="1">
        <v>0.78090000000000004</v>
      </c>
      <c r="V20" s="1">
        <v>0.9022</v>
      </c>
      <c r="W20" s="1">
        <v>0.78320000000000001</v>
      </c>
      <c r="X20" s="1">
        <f t="shared" si="0"/>
        <v>0.92148000000000008</v>
      </c>
      <c r="Y20" s="1">
        <f t="shared" si="4"/>
        <v>9.4429236106086042E-2</v>
      </c>
      <c r="Z20" s="1">
        <f t="shared" si="1"/>
        <v>10.247562194088426</v>
      </c>
      <c r="AA20" s="1">
        <f t="shared" si="2"/>
        <v>0.77159999999999995</v>
      </c>
      <c r="AB20" s="1">
        <f t="shared" si="3"/>
        <v>1.1657999999999999</v>
      </c>
    </row>
    <row r="21" spans="1:28">
      <c r="A21" t="s">
        <v>28</v>
      </c>
      <c r="B21" t="s">
        <v>37</v>
      </c>
      <c r="C21" t="s">
        <v>34</v>
      </c>
      <c r="D21" s="1">
        <v>1.0707</v>
      </c>
      <c r="E21" s="1">
        <v>1.0490999999999999</v>
      </c>
      <c r="F21" s="1">
        <v>1.1254</v>
      </c>
      <c r="G21" s="1">
        <v>1.0569</v>
      </c>
      <c r="H21" s="1">
        <v>1.1403000000000001</v>
      </c>
      <c r="I21" s="1">
        <v>1.1573</v>
      </c>
      <c r="J21" s="1">
        <v>1.1661999999999999</v>
      </c>
      <c r="K21" s="1">
        <v>1.1206</v>
      </c>
      <c r="L21" s="1">
        <v>1.2032</v>
      </c>
      <c r="M21" s="1">
        <v>1.1369</v>
      </c>
      <c r="N21" s="1">
        <v>1.069</v>
      </c>
      <c r="O21" s="1">
        <v>1.2094</v>
      </c>
      <c r="P21" s="1">
        <v>1.1095999999999999</v>
      </c>
      <c r="Q21" s="1">
        <v>1.1243000000000001</v>
      </c>
      <c r="R21" s="1">
        <v>1.0654999999999999</v>
      </c>
      <c r="S21" s="1">
        <v>1.1051</v>
      </c>
      <c r="T21" s="1">
        <v>1.0992</v>
      </c>
      <c r="U21" s="1">
        <v>1.1926000000000001</v>
      </c>
      <c r="V21" s="1">
        <v>1.0348999999999999</v>
      </c>
      <c r="W21" s="1">
        <v>1.1795</v>
      </c>
      <c r="X21" s="1">
        <f t="shared" si="0"/>
        <v>1.1207850000000001</v>
      </c>
      <c r="Y21" s="1">
        <f t="shared" si="4"/>
        <v>5.2815321491121593E-2</v>
      </c>
      <c r="Z21" s="1">
        <f t="shared" si="1"/>
        <v>4.7123508515122516</v>
      </c>
      <c r="AA21" s="1">
        <f t="shared" si="2"/>
        <v>1.0348999999999999</v>
      </c>
      <c r="AB21" s="1">
        <f t="shared" si="3"/>
        <v>1.2094</v>
      </c>
    </row>
    <row r="22" spans="1:28">
      <c r="A22" t="s">
        <v>28</v>
      </c>
      <c r="B22" t="s">
        <v>38</v>
      </c>
      <c r="C22" t="s">
        <v>30</v>
      </c>
      <c r="D22" s="1">
        <v>0.2462</v>
      </c>
      <c r="E22" s="1">
        <v>0.27050000000000002</v>
      </c>
      <c r="F22" s="1">
        <v>0.2636</v>
      </c>
      <c r="G22" s="1">
        <v>0.26090000000000002</v>
      </c>
      <c r="H22" s="1">
        <v>0.23280000000000001</v>
      </c>
      <c r="I22" s="1">
        <v>0.32329999999999998</v>
      </c>
      <c r="J22" s="1">
        <v>0.24049999999999999</v>
      </c>
      <c r="K22" s="1">
        <v>0.24729999999999999</v>
      </c>
      <c r="L22" s="1">
        <v>0.2535</v>
      </c>
      <c r="M22" s="1">
        <v>0.25650000000000001</v>
      </c>
      <c r="N22" s="1">
        <v>0.20810000000000001</v>
      </c>
      <c r="O22" s="1">
        <v>0.28449999999999998</v>
      </c>
      <c r="P22" s="1">
        <v>0.26450000000000001</v>
      </c>
      <c r="Q22" s="1">
        <v>0.24779999999999999</v>
      </c>
      <c r="R22" s="1">
        <v>0.27250000000000002</v>
      </c>
      <c r="S22" s="1">
        <v>0.26300000000000001</v>
      </c>
      <c r="T22" s="1">
        <v>0.28470000000000001</v>
      </c>
      <c r="U22" s="1">
        <v>0.28610000000000002</v>
      </c>
      <c r="V22" s="1">
        <v>0.26490000000000002</v>
      </c>
      <c r="W22" s="1">
        <v>0.23169999999999999</v>
      </c>
      <c r="X22" s="1">
        <f t="shared" si="0"/>
        <v>0.26014499999999996</v>
      </c>
      <c r="Y22" s="1">
        <f t="shared" si="4"/>
        <v>2.4496196804702906E-2</v>
      </c>
      <c r="Z22" s="1">
        <f t="shared" si="1"/>
        <v>9.4163627225981319</v>
      </c>
      <c r="AA22" s="1">
        <f t="shared" si="2"/>
        <v>0.20810000000000001</v>
      </c>
      <c r="AB22" s="1">
        <f t="shared" si="3"/>
        <v>0.32329999999999998</v>
      </c>
    </row>
    <row r="23" spans="1:28">
      <c r="A23" t="s">
        <v>28</v>
      </c>
      <c r="B23" t="s">
        <v>38</v>
      </c>
      <c r="C23" t="s">
        <v>31</v>
      </c>
      <c r="D23" s="1">
        <v>0.41639999999999999</v>
      </c>
      <c r="E23" s="1">
        <v>0.39829999999999999</v>
      </c>
      <c r="F23" s="1">
        <v>0.42520000000000002</v>
      </c>
      <c r="G23" s="1">
        <v>0.39800000000000002</v>
      </c>
      <c r="H23" s="1">
        <v>0.39650000000000002</v>
      </c>
      <c r="I23" s="1">
        <v>0.38419999999999999</v>
      </c>
      <c r="J23" s="1">
        <v>0.41460000000000002</v>
      </c>
      <c r="K23" s="1">
        <v>0.39500000000000002</v>
      </c>
      <c r="L23" s="1">
        <v>0.38779999999999998</v>
      </c>
      <c r="M23" s="1">
        <v>0.38429999999999997</v>
      </c>
      <c r="N23" s="1">
        <v>0.38850000000000001</v>
      </c>
      <c r="O23" s="1">
        <v>0.34849999999999998</v>
      </c>
      <c r="P23" s="1">
        <v>0.38169999999999998</v>
      </c>
      <c r="Q23" s="1">
        <v>0.3574</v>
      </c>
      <c r="R23" s="1">
        <v>0.38319999999999999</v>
      </c>
      <c r="S23" s="1">
        <v>0.37569999999999998</v>
      </c>
      <c r="T23" s="1">
        <v>0.40589999999999998</v>
      </c>
      <c r="U23" s="1">
        <v>0.37209999999999999</v>
      </c>
      <c r="V23" s="1">
        <v>0.37669999999999998</v>
      </c>
      <c r="W23" s="1">
        <v>0.41220000000000001</v>
      </c>
      <c r="X23" s="1">
        <f t="shared" si="0"/>
        <v>0.39011000000000001</v>
      </c>
      <c r="Y23" s="1">
        <f t="shared" si="4"/>
        <v>1.9414939987979427E-2</v>
      </c>
      <c r="Z23" s="1">
        <f t="shared" si="1"/>
        <v>4.9767860316268298</v>
      </c>
      <c r="AA23" s="1">
        <f t="shared" si="2"/>
        <v>0.34849999999999998</v>
      </c>
      <c r="AB23" s="1">
        <f t="shared" si="3"/>
        <v>0.42520000000000002</v>
      </c>
    </row>
    <row r="24" spans="1:28">
      <c r="A24" t="s">
        <v>28</v>
      </c>
      <c r="B24" t="s">
        <v>38</v>
      </c>
      <c r="C24" t="s">
        <v>32</v>
      </c>
      <c r="D24" s="1">
        <v>0.58660000000000001</v>
      </c>
      <c r="E24" s="1">
        <v>0.60670000000000002</v>
      </c>
      <c r="F24" s="1">
        <v>0.51400000000000001</v>
      </c>
      <c r="G24" s="1">
        <v>0.58550000000000002</v>
      </c>
      <c r="H24" s="1">
        <v>0.5302</v>
      </c>
      <c r="I24" s="1">
        <v>0.57820000000000005</v>
      </c>
      <c r="J24" s="1">
        <v>0.5343</v>
      </c>
      <c r="K24" s="1">
        <v>0.56840000000000002</v>
      </c>
      <c r="L24" s="1">
        <v>0.57789999999999997</v>
      </c>
      <c r="M24" s="1">
        <v>0.57140000000000002</v>
      </c>
      <c r="N24" s="1">
        <v>0.62039999999999995</v>
      </c>
      <c r="O24" s="1">
        <v>0.58840000000000003</v>
      </c>
      <c r="P24" s="1">
        <v>0.55679999999999996</v>
      </c>
      <c r="Q24" s="1">
        <v>0.53680000000000005</v>
      </c>
      <c r="R24" s="1">
        <v>0.55779999999999996</v>
      </c>
      <c r="S24" s="1">
        <v>0.56950000000000001</v>
      </c>
      <c r="T24" s="1">
        <v>0.57210000000000005</v>
      </c>
      <c r="U24" s="1">
        <v>0.61209999999999998</v>
      </c>
      <c r="V24" s="1">
        <v>0.56599999999999995</v>
      </c>
      <c r="W24" s="1">
        <v>0.55720000000000003</v>
      </c>
      <c r="X24" s="1">
        <f t="shared" si="0"/>
        <v>0.56951499999999999</v>
      </c>
      <c r="Y24" s="1">
        <f t="shared" si="4"/>
        <v>2.7383865303265136E-2</v>
      </c>
      <c r="Z24" s="1">
        <f t="shared" si="1"/>
        <v>4.8082781495246198</v>
      </c>
      <c r="AA24" s="1">
        <f t="shared" si="2"/>
        <v>0.51400000000000001</v>
      </c>
      <c r="AB24" s="1">
        <f t="shared" si="3"/>
        <v>0.62039999999999995</v>
      </c>
    </row>
    <row r="25" spans="1:28">
      <c r="A25" t="s">
        <v>28</v>
      </c>
      <c r="B25" t="s">
        <v>38</v>
      </c>
      <c r="C25" t="s">
        <v>33</v>
      </c>
      <c r="D25" s="1">
        <v>0.77810000000000001</v>
      </c>
      <c r="E25" s="1">
        <v>0.88119999999999998</v>
      </c>
      <c r="F25" s="1">
        <v>0.83679999999999999</v>
      </c>
      <c r="G25" s="1">
        <v>0.91210000000000002</v>
      </c>
      <c r="H25" s="1">
        <v>0.84460000000000002</v>
      </c>
      <c r="I25" s="1">
        <v>0.88719999999999999</v>
      </c>
      <c r="J25" s="1">
        <v>0.76590000000000003</v>
      </c>
      <c r="K25" s="1">
        <v>0.81610000000000005</v>
      </c>
      <c r="L25" s="1">
        <v>0.90149999999999997</v>
      </c>
      <c r="M25" s="1">
        <v>0.79069999999999996</v>
      </c>
      <c r="N25" s="1">
        <v>0.82269999999999999</v>
      </c>
      <c r="O25" s="1">
        <v>0.7923</v>
      </c>
      <c r="P25" s="1">
        <v>0.81620000000000004</v>
      </c>
      <c r="Q25" s="1">
        <v>0.84809999999999997</v>
      </c>
      <c r="R25" s="1">
        <v>0.88880000000000003</v>
      </c>
      <c r="S25" s="1">
        <v>0.75660000000000005</v>
      </c>
      <c r="T25" s="1">
        <v>0.90910000000000002</v>
      </c>
      <c r="U25" s="1">
        <v>0.87609999999999999</v>
      </c>
      <c r="V25" s="1">
        <v>0.81889999999999996</v>
      </c>
      <c r="W25" s="1">
        <v>0.8629</v>
      </c>
      <c r="X25" s="1">
        <f t="shared" si="0"/>
        <v>0.84029500000000001</v>
      </c>
      <c r="Y25" s="1">
        <f t="shared" si="4"/>
        <v>4.8585783874883007E-2</v>
      </c>
      <c r="Z25" s="1">
        <f t="shared" si="1"/>
        <v>5.7819913095856812</v>
      </c>
      <c r="AA25" s="1">
        <f t="shared" si="2"/>
        <v>0.75660000000000005</v>
      </c>
      <c r="AB25" s="1">
        <f t="shared" si="3"/>
        <v>0.91210000000000002</v>
      </c>
    </row>
    <row r="26" spans="1:28">
      <c r="A26" t="s">
        <v>28</v>
      </c>
      <c r="B26" t="s">
        <v>38</v>
      </c>
      <c r="C26" t="s">
        <v>34</v>
      </c>
      <c r="D26" s="1">
        <v>1.0606</v>
      </c>
      <c r="E26" s="1">
        <v>0.90690000000000004</v>
      </c>
      <c r="F26" s="1">
        <v>1.1165</v>
      </c>
      <c r="G26" s="1">
        <v>1.0959000000000001</v>
      </c>
      <c r="H26" s="1">
        <v>0.97540000000000004</v>
      </c>
      <c r="I26" s="1">
        <v>1.2199</v>
      </c>
      <c r="J26" s="1">
        <v>1.143</v>
      </c>
      <c r="K26" s="1">
        <v>1.1465000000000001</v>
      </c>
      <c r="L26" s="1">
        <v>1.0748</v>
      </c>
      <c r="M26" s="1">
        <v>0.85929999999999995</v>
      </c>
      <c r="N26" s="1">
        <v>1.0436000000000001</v>
      </c>
      <c r="O26" s="1">
        <v>0.92490000000000006</v>
      </c>
      <c r="P26" s="1">
        <v>1.0452999999999999</v>
      </c>
      <c r="Q26" s="1">
        <v>0.81499999999999995</v>
      </c>
      <c r="R26" s="1">
        <v>0.83889999999999998</v>
      </c>
      <c r="S26" s="1">
        <v>0.92410000000000003</v>
      </c>
      <c r="T26" s="1">
        <v>0.97789999999999999</v>
      </c>
      <c r="U26" s="1">
        <v>0.93859999999999999</v>
      </c>
      <c r="V26" s="1">
        <v>1.0885</v>
      </c>
      <c r="W26" s="1">
        <v>1.0688</v>
      </c>
      <c r="X26" s="1">
        <f t="shared" si="0"/>
        <v>1.01322</v>
      </c>
      <c r="Y26" s="1">
        <f t="shared" si="4"/>
        <v>0.11244501627111106</v>
      </c>
      <c r="Z26" s="1">
        <f t="shared" si="1"/>
        <v>11.097788858403018</v>
      </c>
      <c r="AA26" s="1">
        <f t="shared" si="2"/>
        <v>0.81499999999999995</v>
      </c>
      <c r="AB26" s="1">
        <f t="shared" si="3"/>
        <v>1.2199</v>
      </c>
    </row>
    <row r="27" spans="1:28">
      <c r="A27" t="s">
        <v>28</v>
      </c>
      <c r="B27" t="s">
        <v>39</v>
      </c>
      <c r="C27" t="s">
        <v>30</v>
      </c>
      <c r="D27" s="1">
        <v>0.2167</v>
      </c>
      <c r="E27" s="1">
        <v>0.2142</v>
      </c>
      <c r="F27" s="1">
        <v>0.23669999999999999</v>
      </c>
      <c r="G27" s="1">
        <v>0.2019</v>
      </c>
      <c r="H27" s="1">
        <v>0.2452</v>
      </c>
      <c r="I27" s="1">
        <v>0.22070000000000001</v>
      </c>
      <c r="J27" s="1">
        <v>0.2422</v>
      </c>
      <c r="K27" s="1">
        <v>0.2296</v>
      </c>
      <c r="L27" s="1">
        <v>0.2392</v>
      </c>
      <c r="M27" s="1">
        <v>0.25769999999999998</v>
      </c>
      <c r="N27" s="1">
        <v>0.22800000000000001</v>
      </c>
      <c r="O27" s="1">
        <v>0.2487</v>
      </c>
      <c r="P27" s="1">
        <v>0.22159999999999999</v>
      </c>
      <c r="Q27" s="1">
        <v>0.23749999999999999</v>
      </c>
      <c r="R27" s="1">
        <v>0.22689999999999999</v>
      </c>
      <c r="S27" s="1">
        <v>0.22239999999999999</v>
      </c>
      <c r="T27" s="1">
        <v>0.21440000000000001</v>
      </c>
      <c r="U27" s="1">
        <v>0.2077</v>
      </c>
      <c r="V27" s="1">
        <v>0.2482</v>
      </c>
      <c r="W27" s="1">
        <v>0.23980000000000001</v>
      </c>
      <c r="X27" s="1">
        <f t="shared" si="0"/>
        <v>0.22996499999999997</v>
      </c>
      <c r="Y27" s="1">
        <f t="shared" si="4"/>
        <v>1.5035511473280775E-2</v>
      </c>
      <c r="Z27" s="1">
        <f t="shared" si="1"/>
        <v>6.5381738409239567</v>
      </c>
      <c r="AA27" s="1">
        <f t="shared" si="2"/>
        <v>0.2019</v>
      </c>
      <c r="AB27" s="1">
        <f t="shared" si="3"/>
        <v>0.25769999999999998</v>
      </c>
    </row>
    <row r="28" spans="1:28">
      <c r="A28" t="s">
        <v>28</v>
      </c>
      <c r="B28" t="s">
        <v>39</v>
      </c>
      <c r="C28" t="s">
        <v>31</v>
      </c>
      <c r="D28" s="1">
        <v>0.35959999999999998</v>
      </c>
      <c r="E28" s="1">
        <v>0.38030000000000003</v>
      </c>
      <c r="F28" s="1">
        <v>0.37230000000000002</v>
      </c>
      <c r="G28" s="1">
        <v>0.3634</v>
      </c>
      <c r="H28" s="1">
        <v>0.27310000000000001</v>
      </c>
      <c r="I28" s="1">
        <v>0.40100000000000002</v>
      </c>
      <c r="J28" s="1">
        <v>0.31709999999999999</v>
      </c>
      <c r="K28" s="1">
        <v>0.37009999999999998</v>
      </c>
      <c r="L28" s="1">
        <v>0.34060000000000001</v>
      </c>
      <c r="M28" s="1">
        <v>0.35560000000000003</v>
      </c>
      <c r="N28" s="1">
        <v>0.30819999999999997</v>
      </c>
      <c r="O28" s="1">
        <v>0.3261</v>
      </c>
      <c r="P28" s="1">
        <v>0.3674</v>
      </c>
      <c r="Q28" s="1">
        <v>0.37230000000000002</v>
      </c>
      <c r="R28" s="1">
        <v>0.3175</v>
      </c>
      <c r="S28" s="1">
        <v>0.36470000000000002</v>
      </c>
      <c r="T28" s="1">
        <v>0.34899999999999998</v>
      </c>
      <c r="U28" s="1">
        <v>0.2989</v>
      </c>
      <c r="V28" s="1">
        <v>0.36020000000000002</v>
      </c>
      <c r="W28" s="1">
        <v>0.38840000000000002</v>
      </c>
      <c r="X28" s="1">
        <f t="shared" si="0"/>
        <v>0.34928999999999999</v>
      </c>
      <c r="Y28" s="1">
        <f t="shared" si="4"/>
        <v>3.2750586977463803E-2</v>
      </c>
      <c r="Z28" s="1">
        <f t="shared" si="1"/>
        <v>9.3763311224094021</v>
      </c>
      <c r="AA28" s="1">
        <f t="shared" si="2"/>
        <v>0.27310000000000001</v>
      </c>
      <c r="AB28" s="1">
        <f t="shared" si="3"/>
        <v>0.40100000000000002</v>
      </c>
    </row>
    <row r="29" spans="1:28">
      <c r="A29" t="s">
        <v>28</v>
      </c>
      <c r="B29" t="s">
        <v>39</v>
      </c>
      <c r="C29" t="s">
        <v>32</v>
      </c>
      <c r="D29" s="1">
        <v>0.50260000000000005</v>
      </c>
      <c r="E29" s="1">
        <v>0.51870000000000005</v>
      </c>
      <c r="F29" s="1">
        <v>0.52810000000000001</v>
      </c>
      <c r="G29" s="1">
        <v>0.4854</v>
      </c>
      <c r="H29" s="1">
        <v>0.50829999999999997</v>
      </c>
      <c r="I29" s="1">
        <v>0.53680000000000005</v>
      </c>
      <c r="J29" s="1">
        <v>0.54059999999999997</v>
      </c>
      <c r="K29" s="1">
        <v>0.55379999999999996</v>
      </c>
      <c r="L29" s="1">
        <v>0.5464</v>
      </c>
      <c r="M29" s="1">
        <v>0.54120000000000001</v>
      </c>
      <c r="N29" s="1">
        <v>0.53569999999999995</v>
      </c>
      <c r="O29" s="1">
        <v>0.49609999999999999</v>
      </c>
      <c r="P29" s="1">
        <v>0.56430000000000002</v>
      </c>
      <c r="Q29" s="1">
        <v>0.5575</v>
      </c>
      <c r="R29" s="1">
        <v>0.4879</v>
      </c>
      <c r="S29" s="1">
        <v>0.5071</v>
      </c>
      <c r="T29" s="1">
        <v>0.56069999999999998</v>
      </c>
      <c r="U29" s="1">
        <v>0.52149999999999996</v>
      </c>
      <c r="V29" s="1">
        <v>0.51280000000000003</v>
      </c>
      <c r="W29" s="1">
        <v>0.55959999999999999</v>
      </c>
      <c r="X29" s="1">
        <f t="shared" si="0"/>
        <v>0.52825500000000003</v>
      </c>
      <c r="Y29" s="1">
        <f t="shared" si="4"/>
        <v>2.5129820302203763E-2</v>
      </c>
      <c r="Z29" s="1">
        <f t="shared" si="1"/>
        <v>4.7571381817879166</v>
      </c>
      <c r="AA29" s="1">
        <f t="shared" si="2"/>
        <v>0.4854</v>
      </c>
      <c r="AB29" s="1">
        <f t="shared" si="3"/>
        <v>0.56430000000000002</v>
      </c>
    </row>
    <row r="30" spans="1:28">
      <c r="A30" t="s">
        <v>28</v>
      </c>
      <c r="B30" t="s">
        <v>39</v>
      </c>
      <c r="C30" t="s">
        <v>33</v>
      </c>
      <c r="D30" s="1">
        <v>0.72729999999999995</v>
      </c>
      <c r="E30" s="1">
        <v>0.75139999999999996</v>
      </c>
      <c r="F30" s="1">
        <v>0.74490000000000001</v>
      </c>
      <c r="G30" s="1">
        <v>0.72340000000000004</v>
      </c>
      <c r="H30" s="1">
        <v>0.75090000000000001</v>
      </c>
      <c r="I30" s="1">
        <v>0.72040000000000004</v>
      </c>
      <c r="J30" s="1">
        <v>0.73570000000000002</v>
      </c>
      <c r="K30" s="1">
        <v>0.74950000000000006</v>
      </c>
      <c r="L30" s="1">
        <v>0.74480000000000002</v>
      </c>
      <c r="M30" s="1">
        <v>0.74070000000000003</v>
      </c>
      <c r="N30" s="1">
        <v>0.73299999999999998</v>
      </c>
      <c r="O30" s="1">
        <v>0.72850000000000004</v>
      </c>
      <c r="P30" s="1">
        <v>0.77969999999999995</v>
      </c>
      <c r="Q30" s="1">
        <v>0.72870000000000001</v>
      </c>
      <c r="R30" s="1">
        <v>0.73419999999999996</v>
      </c>
      <c r="S30" s="1">
        <v>0.73250000000000004</v>
      </c>
      <c r="T30" s="1">
        <v>0.72799999999999998</v>
      </c>
      <c r="U30" s="1">
        <v>0.77580000000000005</v>
      </c>
      <c r="V30" s="1">
        <v>0.72470000000000001</v>
      </c>
      <c r="W30" s="1">
        <v>0.74209999999999998</v>
      </c>
      <c r="X30" s="1">
        <f t="shared" si="0"/>
        <v>0.73981000000000008</v>
      </c>
      <c r="Y30" s="1">
        <f t="shared" si="4"/>
        <v>1.6000654591872825E-2</v>
      </c>
      <c r="Z30" s="1">
        <f t="shared" si="1"/>
        <v>2.1628059355608635</v>
      </c>
      <c r="AA30" s="1">
        <f t="shared" si="2"/>
        <v>0.72040000000000004</v>
      </c>
      <c r="AB30" s="1">
        <f t="shared" si="3"/>
        <v>0.77969999999999995</v>
      </c>
    </row>
    <row r="31" spans="1:28">
      <c r="A31" t="s">
        <v>28</v>
      </c>
      <c r="B31" t="s">
        <v>39</v>
      </c>
      <c r="C31" t="s">
        <v>34</v>
      </c>
      <c r="D31" s="1">
        <v>0.82499999999999996</v>
      </c>
      <c r="E31" s="1">
        <v>1.123</v>
      </c>
      <c r="F31" s="1">
        <v>0.96679999999999999</v>
      </c>
      <c r="G31" s="1">
        <v>0.88700000000000001</v>
      </c>
      <c r="H31" s="1">
        <v>1.1004</v>
      </c>
      <c r="I31" s="1">
        <v>0.88139999999999996</v>
      </c>
      <c r="J31" s="1">
        <v>0.93579999999999997</v>
      </c>
      <c r="K31" s="1">
        <v>0.98340000000000005</v>
      </c>
      <c r="L31" s="1">
        <v>0.88639999999999997</v>
      </c>
      <c r="M31" s="1">
        <v>0.71430000000000005</v>
      </c>
      <c r="N31" s="1">
        <v>0.78520000000000001</v>
      </c>
      <c r="O31" s="1">
        <v>0.98219999999999996</v>
      </c>
      <c r="P31" s="1">
        <v>0.86080000000000001</v>
      </c>
      <c r="Q31" s="1">
        <v>0.85150000000000003</v>
      </c>
      <c r="R31" s="1">
        <v>0.83879999999999999</v>
      </c>
      <c r="S31" s="1">
        <v>0.91239999999999999</v>
      </c>
      <c r="T31" s="1">
        <v>1.0177</v>
      </c>
      <c r="U31" s="1">
        <v>0.95820000000000005</v>
      </c>
      <c r="V31" s="1">
        <v>0.92969999999999997</v>
      </c>
      <c r="W31" s="1">
        <v>0.84130000000000005</v>
      </c>
      <c r="X31" s="1">
        <f t="shared" si="0"/>
        <v>0.91406500000000013</v>
      </c>
      <c r="Y31" s="1">
        <f t="shared" si="4"/>
        <v>9.9666233922077851E-2</v>
      </c>
      <c r="Z31" s="1">
        <f t="shared" si="1"/>
        <v>10.903626538821401</v>
      </c>
      <c r="AA31" s="1">
        <f t="shared" si="2"/>
        <v>0.71430000000000005</v>
      </c>
      <c r="AB31" s="1">
        <f t="shared" si="3"/>
        <v>1.123</v>
      </c>
    </row>
    <row r="32" spans="1:28">
      <c r="A32" t="s">
        <v>28</v>
      </c>
      <c r="B32" t="s">
        <v>40</v>
      </c>
      <c r="C32" t="s">
        <v>30</v>
      </c>
      <c r="D32" s="1">
        <v>0.19919999999999999</v>
      </c>
      <c r="E32" s="1">
        <v>0.1963</v>
      </c>
      <c r="F32" s="1">
        <v>0.2029</v>
      </c>
      <c r="G32" s="1">
        <v>0.20180000000000001</v>
      </c>
      <c r="H32" s="1">
        <v>0.20469999999999999</v>
      </c>
      <c r="I32" s="1">
        <v>0.19589999999999999</v>
      </c>
      <c r="J32" s="1">
        <v>0.20039999999999999</v>
      </c>
      <c r="K32" s="1">
        <v>0.19969999999999999</v>
      </c>
      <c r="L32" s="1">
        <v>0.20330000000000001</v>
      </c>
      <c r="M32" s="1">
        <v>0.19739999999999999</v>
      </c>
      <c r="N32" s="1">
        <v>0.2084</v>
      </c>
      <c r="O32" s="1">
        <v>0.19980000000000001</v>
      </c>
      <c r="P32" s="1">
        <v>0.1948</v>
      </c>
      <c r="Q32" s="1">
        <v>0.20119999999999999</v>
      </c>
      <c r="R32" s="1">
        <v>0.20080000000000001</v>
      </c>
      <c r="S32" s="1">
        <v>0.19500000000000001</v>
      </c>
      <c r="T32" s="1">
        <v>0.2024</v>
      </c>
      <c r="U32" s="1">
        <v>0.1996</v>
      </c>
      <c r="V32" s="1">
        <v>0.1993</v>
      </c>
      <c r="W32" s="1">
        <v>0.1961</v>
      </c>
      <c r="X32" s="1">
        <f t="shared" si="0"/>
        <v>0.19995000000000002</v>
      </c>
      <c r="Y32" s="1">
        <f t="shared" si="4"/>
        <v>3.4722205847949358E-3</v>
      </c>
      <c r="Z32" s="1">
        <f t="shared" si="1"/>
        <v>1.7365444285045939</v>
      </c>
      <c r="AA32" s="1">
        <f t="shared" si="2"/>
        <v>0.1948</v>
      </c>
      <c r="AB32" s="1">
        <f t="shared" si="3"/>
        <v>0.2084</v>
      </c>
    </row>
    <row r="33" spans="1:28">
      <c r="A33" t="s">
        <v>28</v>
      </c>
      <c r="B33" t="s">
        <v>40</v>
      </c>
      <c r="C33" t="s">
        <v>31</v>
      </c>
      <c r="D33" s="1">
        <v>0.3014</v>
      </c>
      <c r="E33" s="1">
        <v>0.32679999999999998</v>
      </c>
      <c r="F33" s="1">
        <v>0.30909999999999999</v>
      </c>
      <c r="G33" s="1">
        <v>0.30159999999999998</v>
      </c>
      <c r="H33" s="1">
        <v>0.2999</v>
      </c>
      <c r="I33" s="1">
        <v>0.31380000000000002</v>
      </c>
      <c r="J33" s="1">
        <v>0.32400000000000001</v>
      </c>
      <c r="K33" s="1">
        <v>0.34610000000000002</v>
      </c>
      <c r="L33" s="1">
        <v>0.309</v>
      </c>
      <c r="M33" s="1">
        <v>0.29120000000000001</v>
      </c>
      <c r="N33" s="1">
        <v>0.31330000000000002</v>
      </c>
      <c r="O33" s="1">
        <v>0.32690000000000002</v>
      </c>
      <c r="P33" s="1">
        <v>0.31769999999999998</v>
      </c>
      <c r="Q33" s="1">
        <v>0.31419999999999998</v>
      </c>
      <c r="R33" s="1">
        <v>0.30570000000000003</v>
      </c>
      <c r="S33" s="1">
        <v>0.28299999999999997</v>
      </c>
      <c r="T33" s="1">
        <v>0.3004</v>
      </c>
      <c r="U33" s="1">
        <v>0.2833</v>
      </c>
      <c r="V33" s="1">
        <v>0.32950000000000002</v>
      </c>
      <c r="W33" s="1">
        <v>0.30030000000000001</v>
      </c>
      <c r="X33" s="1">
        <f t="shared" si="0"/>
        <v>0.30985999999999997</v>
      </c>
      <c r="Y33" s="1">
        <f t="shared" si="4"/>
        <v>1.5890394317918843E-2</v>
      </c>
      <c r="Z33" s="1">
        <f t="shared" si="1"/>
        <v>5.1282496346475321</v>
      </c>
      <c r="AA33" s="1">
        <f t="shared" si="2"/>
        <v>0.28299999999999997</v>
      </c>
      <c r="AB33" s="1">
        <f t="shared" si="3"/>
        <v>0.34610000000000002</v>
      </c>
    </row>
    <row r="34" spans="1:28">
      <c r="A34" t="s">
        <v>28</v>
      </c>
      <c r="B34" t="s">
        <v>40</v>
      </c>
      <c r="C34" t="s">
        <v>32</v>
      </c>
      <c r="D34" s="1">
        <v>0.43969999999999998</v>
      </c>
      <c r="E34" s="1">
        <v>0.44090000000000001</v>
      </c>
      <c r="F34" s="1">
        <v>0.45319999999999999</v>
      </c>
      <c r="G34" s="1">
        <v>0.40539999999999998</v>
      </c>
      <c r="H34" s="1">
        <v>0.43819999999999998</v>
      </c>
      <c r="I34" s="1">
        <v>0.48520000000000002</v>
      </c>
      <c r="J34" s="1">
        <v>0.47460000000000002</v>
      </c>
      <c r="K34" s="1">
        <v>0.4093</v>
      </c>
      <c r="L34" s="1">
        <v>0.43109999999999998</v>
      </c>
      <c r="M34" s="1">
        <v>0.443</v>
      </c>
      <c r="N34" s="1">
        <v>0.4556</v>
      </c>
      <c r="O34" s="1">
        <v>0.46829999999999999</v>
      </c>
      <c r="P34" s="1">
        <v>0.39960000000000001</v>
      </c>
      <c r="Q34" s="1">
        <v>0.45639999999999997</v>
      </c>
      <c r="R34" s="1">
        <v>0.48180000000000001</v>
      </c>
      <c r="S34" s="1">
        <v>0.44540000000000002</v>
      </c>
      <c r="T34" s="1">
        <v>0.46339999999999998</v>
      </c>
      <c r="U34" s="1">
        <v>0.4839</v>
      </c>
      <c r="V34" s="1">
        <v>0.48280000000000001</v>
      </c>
      <c r="W34" s="1">
        <v>0.44840000000000002</v>
      </c>
      <c r="X34" s="1">
        <f t="shared" ref="X34:X65" si="5">AVERAGE(D34:W34)</f>
        <v>0.45030999999999988</v>
      </c>
      <c r="Y34" s="1">
        <f t="shared" si="4"/>
        <v>2.5771728696383566E-2</v>
      </c>
      <c r="Z34" s="1">
        <f t="shared" ref="Z34:Z65" si="6">IFERROR(Y34/X34*100,"")</f>
        <v>5.7231082357450589</v>
      </c>
      <c r="AA34" s="1">
        <f t="shared" ref="AA34:AA65" si="7">MIN(D34:W34)</f>
        <v>0.39960000000000001</v>
      </c>
      <c r="AB34" s="1">
        <f t="shared" ref="AB34:AB65" si="8">MAX(D34:W34)</f>
        <v>0.48520000000000002</v>
      </c>
    </row>
    <row r="35" spans="1:28">
      <c r="A35" t="s">
        <v>28</v>
      </c>
      <c r="B35" t="s">
        <v>40</v>
      </c>
      <c r="C35" t="s">
        <v>33</v>
      </c>
      <c r="D35" s="1">
        <v>0.68530000000000002</v>
      </c>
      <c r="E35" s="1">
        <v>0.70269999999999999</v>
      </c>
      <c r="F35" s="1">
        <v>0.66400000000000003</v>
      </c>
      <c r="G35" s="1">
        <v>0.62409999999999999</v>
      </c>
      <c r="H35" s="1">
        <v>0.68420000000000003</v>
      </c>
      <c r="I35" s="1">
        <v>0.71330000000000005</v>
      </c>
      <c r="J35" s="1">
        <v>0.62029999999999996</v>
      </c>
      <c r="K35" s="1">
        <v>0.60050000000000003</v>
      </c>
      <c r="L35" s="1">
        <v>0.62739999999999996</v>
      </c>
      <c r="M35" s="1">
        <v>0.7349</v>
      </c>
      <c r="N35" s="1">
        <v>0.64790000000000003</v>
      </c>
      <c r="O35" s="1">
        <v>0.66090000000000004</v>
      </c>
      <c r="P35" s="1">
        <v>0.64570000000000005</v>
      </c>
      <c r="Q35" s="1">
        <v>0.61209999999999998</v>
      </c>
      <c r="R35" s="1">
        <v>0.65700000000000003</v>
      </c>
      <c r="S35" s="1">
        <v>0.64100000000000001</v>
      </c>
      <c r="T35" s="1">
        <v>0.67059999999999997</v>
      </c>
      <c r="U35" s="1">
        <v>0.63759999999999994</v>
      </c>
      <c r="V35" s="1">
        <v>0.70609999999999995</v>
      </c>
      <c r="W35" s="1">
        <v>0.64500000000000002</v>
      </c>
      <c r="X35" s="1">
        <f t="shared" si="5"/>
        <v>0.65902999999999989</v>
      </c>
      <c r="Y35" s="1">
        <f t="shared" si="4"/>
        <v>3.6234224879684945E-2</v>
      </c>
      <c r="Z35" s="1">
        <f t="shared" si="6"/>
        <v>5.4981146350977879</v>
      </c>
      <c r="AA35" s="1">
        <f t="shared" si="7"/>
        <v>0.60050000000000003</v>
      </c>
      <c r="AB35" s="1">
        <f t="shared" si="8"/>
        <v>0.7349</v>
      </c>
    </row>
    <row r="36" spans="1:28">
      <c r="A36" t="s">
        <v>28</v>
      </c>
      <c r="B36" t="s">
        <v>40</v>
      </c>
      <c r="C36" t="s">
        <v>34</v>
      </c>
      <c r="D36" s="1">
        <v>0.75539999999999996</v>
      </c>
      <c r="E36" s="1">
        <v>0.75260000000000005</v>
      </c>
      <c r="F36" s="1">
        <v>0.81389999999999996</v>
      </c>
      <c r="G36" s="1">
        <v>0.86129999999999995</v>
      </c>
      <c r="H36" s="1">
        <v>0.84819999999999995</v>
      </c>
      <c r="I36" s="1">
        <v>0.90180000000000005</v>
      </c>
      <c r="J36" s="1">
        <v>0.68979999999999997</v>
      </c>
      <c r="K36" s="1">
        <v>0.8306</v>
      </c>
      <c r="L36" s="1">
        <v>0.8478</v>
      </c>
      <c r="M36" s="1">
        <v>0.84150000000000003</v>
      </c>
      <c r="N36" s="1">
        <v>0.89049999999999996</v>
      </c>
      <c r="O36" s="1">
        <v>0.86180000000000001</v>
      </c>
      <c r="P36" s="1">
        <v>0.79379999999999995</v>
      </c>
      <c r="Q36" s="1">
        <v>0.7974</v>
      </c>
      <c r="R36" s="1">
        <v>0.90859999999999996</v>
      </c>
      <c r="S36" s="1">
        <v>0.77829999999999999</v>
      </c>
      <c r="T36" s="1">
        <v>0.91959999999999997</v>
      </c>
      <c r="U36" s="1">
        <v>0.8085</v>
      </c>
      <c r="V36" s="1">
        <v>0.89400000000000002</v>
      </c>
      <c r="W36" s="1">
        <v>0.80579999999999996</v>
      </c>
      <c r="X36" s="1">
        <f t="shared" si="5"/>
        <v>0.83006000000000013</v>
      </c>
      <c r="Y36" s="1">
        <f t="shared" si="4"/>
        <v>5.9583779141995565E-2</v>
      </c>
      <c r="Z36" s="1">
        <f t="shared" si="6"/>
        <v>7.1782496617106659</v>
      </c>
      <c r="AA36" s="1">
        <f t="shared" si="7"/>
        <v>0.68979999999999997</v>
      </c>
      <c r="AB36" s="1">
        <f t="shared" si="8"/>
        <v>0.91959999999999997</v>
      </c>
    </row>
    <row r="37" spans="1:28">
      <c r="A37" t="s">
        <v>41</v>
      </c>
      <c r="B37" t="s">
        <v>29</v>
      </c>
      <c r="C37" t="s">
        <v>30</v>
      </c>
      <c r="D37" s="1">
        <v>5.5594000000000001</v>
      </c>
      <c r="E37" s="1">
        <v>5.7011000000000003</v>
      </c>
      <c r="F37" s="1">
        <v>5.3844000000000003</v>
      </c>
      <c r="G37" s="1">
        <v>5.6360000000000001</v>
      </c>
      <c r="H37" s="1">
        <v>5.2411000000000003</v>
      </c>
      <c r="I37" s="1">
        <v>5.3849999999999998</v>
      </c>
      <c r="J37" s="1">
        <v>5.2742000000000004</v>
      </c>
      <c r="K37" s="1">
        <v>5.8483999999999998</v>
      </c>
      <c r="L37" s="1">
        <v>5.3794000000000004</v>
      </c>
      <c r="M37" s="1">
        <v>5.5087999999999999</v>
      </c>
      <c r="N37" s="1">
        <v>5.3657000000000004</v>
      </c>
      <c r="O37" s="1">
        <v>5.4160000000000004</v>
      </c>
      <c r="P37" s="1">
        <v>4.9558</v>
      </c>
      <c r="Q37" s="1">
        <v>5.1540999999999997</v>
      </c>
      <c r="R37" s="1">
        <v>5.4462000000000002</v>
      </c>
      <c r="S37" s="1">
        <v>5.3478000000000003</v>
      </c>
      <c r="T37" s="1">
        <v>5.4759000000000002</v>
      </c>
      <c r="U37" s="1">
        <v>5.6435000000000004</v>
      </c>
      <c r="V37" s="1">
        <v>4.9420000000000002</v>
      </c>
      <c r="W37" s="1">
        <v>5.2422000000000004</v>
      </c>
      <c r="X37" s="1">
        <f t="shared" si="5"/>
        <v>5.3953499999999988</v>
      </c>
      <c r="Y37" s="1">
        <f t="shared" si="4"/>
        <v>0.22826471359735873</v>
      </c>
      <c r="Z37" s="1">
        <f t="shared" si="6"/>
        <v>4.2307674867683982</v>
      </c>
      <c r="AA37" s="1">
        <f t="shared" si="7"/>
        <v>4.9420000000000002</v>
      </c>
      <c r="AB37" s="1">
        <f t="shared" si="8"/>
        <v>5.8483999999999998</v>
      </c>
    </row>
    <row r="38" spans="1:28">
      <c r="A38" t="s">
        <v>41</v>
      </c>
      <c r="B38" t="s">
        <v>29</v>
      </c>
      <c r="C38" t="s">
        <v>31</v>
      </c>
      <c r="D38" s="1">
        <v>8.7903000000000002</v>
      </c>
      <c r="E38" s="1">
        <v>8.4693000000000005</v>
      </c>
      <c r="F38" s="1">
        <v>8.6050000000000004</v>
      </c>
      <c r="G38" s="1">
        <v>7.1906999999999996</v>
      </c>
      <c r="H38" s="1">
        <v>7.0307000000000004</v>
      </c>
      <c r="I38" s="1">
        <v>7.8383000000000003</v>
      </c>
      <c r="J38" s="1">
        <v>9.1820000000000004</v>
      </c>
      <c r="K38" s="1">
        <v>8.7219999999999995</v>
      </c>
      <c r="L38" s="1">
        <v>9.1556999999999995</v>
      </c>
      <c r="M38" s="1">
        <v>8.0876000000000001</v>
      </c>
      <c r="N38" s="1">
        <v>8.8687000000000005</v>
      </c>
      <c r="O38" s="1">
        <v>9.0160999999999998</v>
      </c>
      <c r="P38" s="1">
        <v>8.4329999999999998</v>
      </c>
      <c r="Q38" s="1">
        <v>9.1752000000000002</v>
      </c>
      <c r="R38" s="1">
        <v>9.9375999999999998</v>
      </c>
      <c r="S38" s="1">
        <v>8.3859999999999992</v>
      </c>
      <c r="T38" s="1">
        <v>7.2981999999999996</v>
      </c>
      <c r="U38" s="1">
        <v>8.9280000000000008</v>
      </c>
      <c r="V38" s="1">
        <v>9.8856999999999999</v>
      </c>
      <c r="W38" s="1">
        <v>8.5345999999999993</v>
      </c>
      <c r="X38" s="1">
        <f t="shared" si="5"/>
        <v>8.5767349999999993</v>
      </c>
      <c r="Y38" s="1">
        <f t="shared" si="4"/>
        <v>0.79123813986288882</v>
      </c>
      <c r="Z38" s="1">
        <f t="shared" si="6"/>
        <v>9.2254003401397959</v>
      </c>
      <c r="AA38" s="1">
        <f t="shared" si="7"/>
        <v>7.0307000000000004</v>
      </c>
      <c r="AB38" s="1">
        <f t="shared" si="8"/>
        <v>9.9375999999999998</v>
      </c>
    </row>
    <row r="39" spans="1:28">
      <c r="A39" t="s">
        <v>41</v>
      </c>
      <c r="B39" t="s">
        <v>29</v>
      </c>
      <c r="C39" t="s">
        <v>32</v>
      </c>
      <c r="D39" s="1">
        <v>12.8445</v>
      </c>
      <c r="E39" s="1">
        <v>12.337899999999999</v>
      </c>
      <c r="F39" s="1">
        <v>13.1332</v>
      </c>
      <c r="G39" s="1">
        <v>11.043100000000001</v>
      </c>
      <c r="H39" s="1">
        <v>12.7643</v>
      </c>
      <c r="I39" s="1">
        <v>12.792</v>
      </c>
      <c r="J39" s="1">
        <v>10.7652</v>
      </c>
      <c r="K39" s="1">
        <v>11.562799999999999</v>
      </c>
      <c r="L39" s="1">
        <v>10.2773</v>
      </c>
      <c r="M39" s="1">
        <v>11.459</v>
      </c>
      <c r="N39" s="1">
        <v>12.4216</v>
      </c>
      <c r="O39" s="1">
        <v>11.897</v>
      </c>
      <c r="P39" s="1">
        <v>11.716799999999999</v>
      </c>
      <c r="Q39" s="1">
        <v>13.2285</v>
      </c>
      <c r="R39" s="1">
        <v>13.218</v>
      </c>
      <c r="S39" s="1">
        <v>12.9778</v>
      </c>
      <c r="T39" s="1">
        <v>13.1899</v>
      </c>
      <c r="U39" s="1">
        <v>11.8011</v>
      </c>
      <c r="V39" s="1">
        <v>12.0541</v>
      </c>
      <c r="W39" s="1">
        <v>12.3042</v>
      </c>
      <c r="X39" s="1">
        <f t="shared" si="5"/>
        <v>12.189415</v>
      </c>
      <c r="Y39" s="1">
        <f t="shared" si="4"/>
        <v>0.86649748338383903</v>
      </c>
      <c r="Z39" s="1">
        <f t="shared" si="6"/>
        <v>7.1086059780870459</v>
      </c>
      <c r="AA39" s="1">
        <f t="shared" si="7"/>
        <v>10.2773</v>
      </c>
      <c r="AB39" s="1">
        <f t="shared" si="8"/>
        <v>13.2285</v>
      </c>
    </row>
    <row r="40" spans="1:28">
      <c r="A40" t="s">
        <v>41</v>
      </c>
      <c r="B40" t="s">
        <v>29</v>
      </c>
      <c r="C40" t="s">
        <v>33</v>
      </c>
      <c r="D40" s="1">
        <v>14.972300000000001</v>
      </c>
      <c r="E40" s="1">
        <v>15.7181</v>
      </c>
      <c r="F40" s="1">
        <v>15.212199999999999</v>
      </c>
      <c r="G40" s="1">
        <v>16.487400000000001</v>
      </c>
      <c r="H40" s="1">
        <v>16.501799999999999</v>
      </c>
      <c r="I40" s="1">
        <v>17.114799999999999</v>
      </c>
      <c r="J40" s="1">
        <v>15.9384</v>
      </c>
      <c r="K40" s="1">
        <v>15.9582</v>
      </c>
      <c r="L40" s="1">
        <v>16.744499999999999</v>
      </c>
      <c r="M40" s="1">
        <v>16.0657</v>
      </c>
      <c r="N40" s="1">
        <v>16.8186</v>
      </c>
      <c r="O40" s="1">
        <v>16.8643</v>
      </c>
      <c r="P40" s="1">
        <v>18.713899999999999</v>
      </c>
      <c r="Q40" s="1">
        <v>16.322299999999998</v>
      </c>
      <c r="R40" s="1">
        <v>15.667999999999999</v>
      </c>
      <c r="S40" s="1">
        <v>16.398900000000001</v>
      </c>
      <c r="T40" s="1">
        <v>16.1615</v>
      </c>
      <c r="U40" s="1">
        <v>15.9978</v>
      </c>
      <c r="V40" s="1">
        <v>17.860099999999999</v>
      </c>
      <c r="W40" s="1">
        <v>15.795199999999999</v>
      </c>
      <c r="X40" s="1">
        <f t="shared" si="5"/>
        <v>16.3657</v>
      </c>
      <c r="Y40" s="1">
        <f t="shared" si="4"/>
        <v>0.86027571528887703</v>
      </c>
      <c r="Z40" s="1">
        <f t="shared" si="6"/>
        <v>5.2565775694829853</v>
      </c>
      <c r="AA40" s="1">
        <f t="shared" si="7"/>
        <v>14.972300000000001</v>
      </c>
      <c r="AB40" s="1">
        <f t="shared" si="8"/>
        <v>18.713899999999999</v>
      </c>
    </row>
    <row r="41" spans="1:28">
      <c r="A41" t="s">
        <v>41</v>
      </c>
      <c r="B41" t="s">
        <v>29</v>
      </c>
      <c r="C41" t="s">
        <v>34</v>
      </c>
      <c r="D41" s="1">
        <v>19.078199999999999</v>
      </c>
      <c r="E41" s="1">
        <v>20.333300000000001</v>
      </c>
      <c r="F41" s="1">
        <v>20.828499999999998</v>
      </c>
      <c r="G41" s="1">
        <v>19.640799999999999</v>
      </c>
      <c r="H41" s="1">
        <v>19.5869</v>
      </c>
      <c r="I41" s="1">
        <v>19.9086</v>
      </c>
      <c r="J41" s="1">
        <v>19.817799999999998</v>
      </c>
      <c r="K41" s="1">
        <v>20.245699999999999</v>
      </c>
      <c r="L41" s="1">
        <v>20.8141</v>
      </c>
      <c r="M41" s="1">
        <v>19.7043</v>
      </c>
      <c r="N41" s="1">
        <v>21.1693</v>
      </c>
      <c r="O41" s="1">
        <v>20.2209</v>
      </c>
      <c r="P41" s="1">
        <v>19.7087</v>
      </c>
      <c r="Q41" s="1">
        <v>20.304099999999998</v>
      </c>
      <c r="R41" s="1">
        <v>21.236499999999999</v>
      </c>
      <c r="S41" s="1">
        <v>21.088799999999999</v>
      </c>
      <c r="T41" s="1">
        <v>21.523499999999999</v>
      </c>
      <c r="U41" s="1">
        <v>20.325399999999998</v>
      </c>
      <c r="V41" s="1">
        <v>18.343900000000001</v>
      </c>
      <c r="W41" s="1">
        <v>20.5703</v>
      </c>
      <c r="X41" s="1">
        <f t="shared" si="5"/>
        <v>20.222479999999997</v>
      </c>
      <c r="Y41" s="1">
        <f t="shared" si="4"/>
        <v>0.78175640343766217</v>
      </c>
      <c r="Z41" s="1">
        <f t="shared" si="6"/>
        <v>3.8657790905846481</v>
      </c>
      <c r="AA41" s="1">
        <f t="shared" si="7"/>
        <v>18.343900000000001</v>
      </c>
      <c r="AB41" s="1">
        <f t="shared" si="8"/>
        <v>21.523499999999999</v>
      </c>
    </row>
    <row r="42" spans="1:28">
      <c r="A42" t="s">
        <v>41</v>
      </c>
      <c r="B42" t="s">
        <v>35</v>
      </c>
      <c r="C42" t="s">
        <v>30</v>
      </c>
      <c r="D42" s="1">
        <v>4.3028000000000004</v>
      </c>
      <c r="E42" s="1">
        <v>4.3529</v>
      </c>
      <c r="F42" s="1">
        <v>4.3745000000000003</v>
      </c>
      <c r="G42" s="1">
        <v>4.2801999999999998</v>
      </c>
      <c r="H42" s="1">
        <v>4.6052</v>
      </c>
      <c r="I42" s="1">
        <v>4.2572999999999999</v>
      </c>
      <c r="J42" s="1">
        <v>4.867</v>
      </c>
      <c r="K42" s="1">
        <v>4.1566999999999998</v>
      </c>
      <c r="L42" s="1">
        <v>3.1876000000000002</v>
      </c>
      <c r="M42" s="1">
        <v>4.4284999999999997</v>
      </c>
      <c r="N42" s="1">
        <v>3.9988000000000001</v>
      </c>
      <c r="O42" s="1">
        <v>3.6469</v>
      </c>
      <c r="P42" s="1">
        <v>4.4149000000000003</v>
      </c>
      <c r="Q42" s="1">
        <v>4.3285</v>
      </c>
      <c r="R42" s="1">
        <v>4.63</v>
      </c>
      <c r="S42" s="1">
        <v>4.1684000000000001</v>
      </c>
      <c r="T42" s="1">
        <v>4.0902000000000003</v>
      </c>
      <c r="U42" s="1">
        <v>4.2721999999999998</v>
      </c>
      <c r="V42" s="1">
        <v>3.9302999999999999</v>
      </c>
      <c r="W42" s="1">
        <v>3.8273000000000001</v>
      </c>
      <c r="X42" s="1">
        <f t="shared" si="5"/>
        <v>4.2060100000000009</v>
      </c>
      <c r="Y42" s="1">
        <f t="shared" si="4"/>
        <v>0.36888255854675478</v>
      </c>
      <c r="Z42" s="1">
        <f t="shared" si="6"/>
        <v>8.7703680815488951</v>
      </c>
      <c r="AA42" s="1">
        <f t="shared" si="7"/>
        <v>3.1876000000000002</v>
      </c>
      <c r="AB42" s="1">
        <f t="shared" si="8"/>
        <v>4.867</v>
      </c>
    </row>
    <row r="43" spans="1:28">
      <c r="A43" t="s">
        <v>41</v>
      </c>
      <c r="B43" t="s">
        <v>35</v>
      </c>
      <c r="C43" t="s">
        <v>31</v>
      </c>
      <c r="D43" s="1">
        <v>5.6360000000000001</v>
      </c>
      <c r="E43" s="1">
        <v>6.8422999999999998</v>
      </c>
      <c r="F43" s="1">
        <v>6.6887999999999996</v>
      </c>
      <c r="G43" s="1">
        <v>6.4720000000000004</v>
      </c>
      <c r="H43" s="1">
        <v>5.5202</v>
      </c>
      <c r="I43" s="1">
        <v>5.8688000000000002</v>
      </c>
      <c r="J43" s="1">
        <v>6.3490000000000002</v>
      </c>
      <c r="K43" s="1">
        <v>5.3992000000000004</v>
      </c>
      <c r="L43" s="1">
        <v>6.1238000000000001</v>
      </c>
      <c r="M43" s="1">
        <v>5.3708999999999998</v>
      </c>
      <c r="N43" s="1">
        <v>7.2202000000000002</v>
      </c>
      <c r="O43" s="1">
        <v>6.1064999999999996</v>
      </c>
      <c r="P43" s="1">
        <v>7.0818000000000003</v>
      </c>
      <c r="Q43" s="1">
        <v>6.2633000000000001</v>
      </c>
      <c r="R43" s="1">
        <v>6.3396999999999997</v>
      </c>
      <c r="S43" s="1">
        <v>5.4470999999999998</v>
      </c>
      <c r="T43" s="1">
        <v>4.5917000000000003</v>
      </c>
      <c r="U43" s="1">
        <v>6.6482999999999999</v>
      </c>
      <c r="V43" s="1">
        <v>6.3372000000000002</v>
      </c>
      <c r="W43" s="1">
        <v>5.8247999999999998</v>
      </c>
      <c r="X43" s="1">
        <f t="shared" si="5"/>
        <v>6.1065800000000001</v>
      </c>
      <c r="Y43" s="1">
        <f t="shared" si="4"/>
        <v>0.65543190870400114</v>
      </c>
      <c r="Z43" s="1">
        <f t="shared" si="6"/>
        <v>10.733207600719243</v>
      </c>
      <c r="AA43" s="1">
        <f t="shared" si="7"/>
        <v>4.5917000000000003</v>
      </c>
      <c r="AB43" s="1">
        <f t="shared" si="8"/>
        <v>7.2202000000000002</v>
      </c>
    </row>
    <row r="44" spans="1:28">
      <c r="A44" t="s">
        <v>41</v>
      </c>
      <c r="B44" t="s">
        <v>35</v>
      </c>
      <c r="C44" t="s">
        <v>32</v>
      </c>
      <c r="D44" s="1">
        <v>9.6143000000000001</v>
      </c>
      <c r="E44" s="1">
        <v>10.4137</v>
      </c>
      <c r="F44" s="1">
        <v>9.9808000000000003</v>
      </c>
      <c r="G44" s="1">
        <v>8.3828999999999994</v>
      </c>
      <c r="H44" s="1">
        <v>8.2696000000000005</v>
      </c>
      <c r="I44" s="1">
        <v>8.1759000000000004</v>
      </c>
      <c r="J44" s="1">
        <v>8.2521000000000004</v>
      </c>
      <c r="K44" s="1">
        <v>7.3677000000000001</v>
      </c>
      <c r="L44" s="1">
        <v>8.1198999999999995</v>
      </c>
      <c r="M44" s="1">
        <v>9.4849999999999994</v>
      </c>
      <c r="N44" s="1">
        <v>9.5016999999999996</v>
      </c>
      <c r="O44" s="1">
        <v>9.1205999999999996</v>
      </c>
      <c r="P44" s="1">
        <v>9.2781000000000002</v>
      </c>
      <c r="Q44" s="1">
        <v>9.6067</v>
      </c>
      <c r="R44" s="1">
        <v>9.9981000000000009</v>
      </c>
      <c r="S44" s="1">
        <v>8.8420000000000005</v>
      </c>
      <c r="T44" s="1">
        <v>8.2513000000000005</v>
      </c>
      <c r="U44" s="1">
        <v>8.9652999999999992</v>
      </c>
      <c r="V44" s="1">
        <v>8.8956999999999997</v>
      </c>
      <c r="W44" s="1">
        <v>7.8413000000000004</v>
      </c>
      <c r="X44" s="1">
        <f t="shared" si="5"/>
        <v>8.9181349999999995</v>
      </c>
      <c r="Y44" s="1">
        <f t="shared" si="4"/>
        <v>0.81689072468656876</v>
      </c>
      <c r="Z44" s="1">
        <f t="shared" si="6"/>
        <v>9.159882920437612</v>
      </c>
      <c r="AA44" s="1">
        <f t="shared" si="7"/>
        <v>7.3677000000000001</v>
      </c>
      <c r="AB44" s="1">
        <f t="shared" si="8"/>
        <v>10.4137</v>
      </c>
    </row>
    <row r="45" spans="1:28">
      <c r="A45" t="s">
        <v>41</v>
      </c>
      <c r="B45" t="s">
        <v>35</v>
      </c>
      <c r="C45" t="s">
        <v>33</v>
      </c>
      <c r="D45" s="1">
        <v>11.9877</v>
      </c>
      <c r="E45" s="1">
        <v>11.798500000000001</v>
      </c>
      <c r="F45" s="1">
        <v>11.6602</v>
      </c>
      <c r="G45" s="1">
        <v>12.046799999999999</v>
      </c>
      <c r="H45" s="1">
        <v>13.5702</v>
      </c>
      <c r="I45" s="1">
        <v>11.6889</v>
      </c>
      <c r="J45" s="1">
        <v>12.5002</v>
      </c>
      <c r="K45" s="1">
        <v>12.2148</v>
      </c>
      <c r="L45" s="1">
        <v>11.0585</v>
      </c>
      <c r="M45" s="1">
        <v>12.1218</v>
      </c>
      <c r="N45" s="1">
        <v>12.7514</v>
      </c>
      <c r="O45" s="1">
        <v>11.1204</v>
      </c>
      <c r="P45" s="1">
        <v>13.0426</v>
      </c>
      <c r="Q45" s="1">
        <v>10.858000000000001</v>
      </c>
      <c r="R45" s="1">
        <v>12.7737</v>
      </c>
      <c r="S45" s="1">
        <v>12.424300000000001</v>
      </c>
      <c r="T45" s="1">
        <v>13.089</v>
      </c>
      <c r="U45" s="1">
        <v>13.2165</v>
      </c>
      <c r="V45" s="1">
        <v>9.5591000000000008</v>
      </c>
      <c r="W45" s="1">
        <v>13.5223</v>
      </c>
      <c r="X45" s="1">
        <f t="shared" si="5"/>
        <v>12.150244999999996</v>
      </c>
      <c r="Y45" s="1">
        <f t="shared" si="4"/>
        <v>0.99779089807908816</v>
      </c>
      <c r="Z45" s="1">
        <f t="shared" si="6"/>
        <v>8.2121051721927287</v>
      </c>
      <c r="AA45" s="1">
        <f t="shared" si="7"/>
        <v>9.5591000000000008</v>
      </c>
      <c r="AB45" s="1">
        <f t="shared" si="8"/>
        <v>13.5702</v>
      </c>
    </row>
    <row r="46" spans="1:28">
      <c r="A46" t="s">
        <v>41</v>
      </c>
      <c r="B46" t="s">
        <v>35</v>
      </c>
      <c r="C46" t="s">
        <v>34</v>
      </c>
      <c r="D46" s="1">
        <v>16.456600000000002</v>
      </c>
      <c r="E46" s="1">
        <v>11.8683</v>
      </c>
      <c r="F46" s="1">
        <v>12.357799999999999</v>
      </c>
      <c r="G46" s="1">
        <v>13.707599999999999</v>
      </c>
      <c r="H46" s="1">
        <v>14.7393</v>
      </c>
      <c r="I46" s="1">
        <v>15.798999999999999</v>
      </c>
      <c r="J46" s="1">
        <v>15.7806</v>
      </c>
      <c r="K46" s="1">
        <v>12.4862</v>
      </c>
      <c r="L46" s="1">
        <v>14.2364</v>
      </c>
      <c r="M46" s="1">
        <v>16.472999999999999</v>
      </c>
      <c r="N46" s="1">
        <v>14.0844</v>
      </c>
      <c r="O46" s="1">
        <v>16.372900000000001</v>
      </c>
      <c r="P46" s="1">
        <v>16.4772</v>
      </c>
      <c r="Q46" s="1">
        <v>15.962899999999999</v>
      </c>
      <c r="R46" s="1">
        <v>17.550899999999999</v>
      </c>
      <c r="S46" s="1">
        <v>13.942600000000001</v>
      </c>
      <c r="T46" s="1">
        <v>15.484500000000001</v>
      </c>
      <c r="U46" s="1">
        <v>14.4801</v>
      </c>
      <c r="V46" s="1">
        <v>16.1496</v>
      </c>
      <c r="W46" s="1">
        <v>13.783799999999999</v>
      </c>
      <c r="X46" s="1">
        <f t="shared" si="5"/>
        <v>14.909684999999996</v>
      </c>
      <c r="Y46" s="1">
        <f t="shared" si="4"/>
        <v>1.5822824248118756</v>
      </c>
      <c r="Z46" s="1">
        <f t="shared" si="6"/>
        <v>10.612447042388059</v>
      </c>
      <c r="AA46" s="1">
        <f t="shared" si="7"/>
        <v>11.8683</v>
      </c>
      <c r="AB46" s="1">
        <f t="shared" si="8"/>
        <v>17.550899999999999</v>
      </c>
    </row>
    <row r="47" spans="1:28">
      <c r="A47" t="s">
        <v>41</v>
      </c>
      <c r="B47" t="s">
        <v>36</v>
      </c>
      <c r="C47" t="s">
        <v>30</v>
      </c>
      <c r="D47" s="1">
        <v>3.3258999999999999</v>
      </c>
      <c r="E47" s="1">
        <v>3.4944000000000002</v>
      </c>
      <c r="F47" s="1">
        <v>3.6446999999999998</v>
      </c>
      <c r="G47" s="1">
        <v>3.5777999999999999</v>
      </c>
      <c r="H47" s="1">
        <v>3.6288999999999998</v>
      </c>
      <c r="I47" s="1">
        <v>3.4908000000000001</v>
      </c>
      <c r="J47" s="1">
        <v>3.6</v>
      </c>
      <c r="K47" s="1">
        <v>3.4605999999999999</v>
      </c>
      <c r="L47" s="1">
        <v>3.9216000000000002</v>
      </c>
      <c r="M47" s="1">
        <v>3.5853000000000002</v>
      </c>
      <c r="N47" s="1">
        <v>3.6280000000000001</v>
      </c>
      <c r="O47" s="1">
        <v>3.8820000000000001</v>
      </c>
      <c r="P47" s="1">
        <v>3.6577999999999999</v>
      </c>
      <c r="Q47" s="1">
        <v>3.7761</v>
      </c>
      <c r="R47" s="1">
        <v>3.5316000000000001</v>
      </c>
      <c r="S47" s="1">
        <v>3.3973</v>
      </c>
      <c r="T47" s="1">
        <v>3.8927</v>
      </c>
      <c r="U47" s="1">
        <v>3.4952999999999999</v>
      </c>
      <c r="V47" s="1">
        <v>3.4853000000000001</v>
      </c>
      <c r="W47" s="1">
        <v>3.5501999999999998</v>
      </c>
      <c r="X47" s="1">
        <f t="shared" si="5"/>
        <v>3.6013149999999996</v>
      </c>
      <c r="Y47" s="1">
        <f t="shared" si="4"/>
        <v>0.1617780782592721</v>
      </c>
      <c r="Z47" s="1">
        <f t="shared" si="6"/>
        <v>4.4921946083381243</v>
      </c>
      <c r="AA47" s="1">
        <f t="shared" si="7"/>
        <v>3.3258999999999999</v>
      </c>
      <c r="AB47" s="1">
        <f t="shared" si="8"/>
        <v>3.9216000000000002</v>
      </c>
    </row>
    <row r="48" spans="1:28">
      <c r="A48" t="s">
        <v>41</v>
      </c>
      <c r="B48" t="s">
        <v>36</v>
      </c>
      <c r="C48" t="s">
        <v>31</v>
      </c>
      <c r="D48" s="1">
        <v>6.8423999999999996</v>
      </c>
      <c r="E48" s="1">
        <v>5.3070000000000004</v>
      </c>
      <c r="F48" s="1">
        <v>4.7305000000000001</v>
      </c>
      <c r="G48" s="1">
        <v>4.6742999999999997</v>
      </c>
      <c r="H48" s="1">
        <v>5.1105999999999998</v>
      </c>
      <c r="I48" s="1">
        <v>5.6303000000000001</v>
      </c>
      <c r="J48" s="1">
        <v>4.5098000000000003</v>
      </c>
      <c r="K48" s="1">
        <v>5.3958000000000004</v>
      </c>
      <c r="L48" s="1">
        <v>4.8441000000000001</v>
      </c>
      <c r="M48" s="1">
        <v>4.9042000000000003</v>
      </c>
      <c r="N48" s="1">
        <v>6.0937999999999999</v>
      </c>
      <c r="O48" s="1">
        <v>4.2836999999999996</v>
      </c>
      <c r="P48" s="1">
        <v>5.5591999999999997</v>
      </c>
      <c r="Q48" s="1">
        <v>5.5793999999999997</v>
      </c>
      <c r="R48" s="1">
        <v>5.5068999999999999</v>
      </c>
      <c r="S48" s="1">
        <v>4.7328000000000001</v>
      </c>
      <c r="T48" s="1">
        <v>5.2613000000000003</v>
      </c>
      <c r="U48" s="1">
        <v>4.8539000000000003</v>
      </c>
      <c r="V48" s="1">
        <v>5.6102999999999996</v>
      </c>
      <c r="W48" s="1">
        <v>4.6001000000000003</v>
      </c>
      <c r="X48" s="1">
        <f t="shared" si="5"/>
        <v>5.2015200000000004</v>
      </c>
      <c r="Y48" s="1">
        <f t="shared" si="4"/>
        <v>0.60712365219338682</v>
      </c>
      <c r="Z48" s="1">
        <f t="shared" si="6"/>
        <v>11.672043021912572</v>
      </c>
      <c r="AA48" s="1">
        <f t="shared" si="7"/>
        <v>4.2836999999999996</v>
      </c>
      <c r="AB48" s="1">
        <f t="shared" si="8"/>
        <v>6.8423999999999996</v>
      </c>
    </row>
    <row r="49" spans="1:28">
      <c r="A49" t="s">
        <v>41</v>
      </c>
      <c r="B49" t="s">
        <v>36</v>
      </c>
      <c r="C49" t="s">
        <v>32</v>
      </c>
      <c r="D49" s="1">
        <v>8.3853000000000009</v>
      </c>
      <c r="E49" s="1">
        <v>7.3749000000000002</v>
      </c>
      <c r="F49" s="1">
        <v>8.8025000000000002</v>
      </c>
      <c r="G49" s="1">
        <v>7.6745000000000001</v>
      </c>
      <c r="H49" s="1">
        <v>7.8253000000000004</v>
      </c>
      <c r="I49" s="1">
        <v>7.3654000000000002</v>
      </c>
      <c r="J49" s="1">
        <v>8.1844999999999999</v>
      </c>
      <c r="K49" s="1">
        <v>6.9790999999999999</v>
      </c>
      <c r="L49" s="1">
        <v>7.1132999999999997</v>
      </c>
      <c r="M49" s="1">
        <v>6.7602000000000002</v>
      </c>
      <c r="N49" s="1">
        <v>7.2241999999999997</v>
      </c>
      <c r="O49" s="1">
        <v>7.1631999999999998</v>
      </c>
      <c r="P49" s="1">
        <v>7.9424999999999999</v>
      </c>
      <c r="Q49" s="1">
        <v>7.3315000000000001</v>
      </c>
      <c r="R49" s="1">
        <v>7.5541999999999998</v>
      </c>
      <c r="S49" s="1">
        <v>7.4124999999999996</v>
      </c>
      <c r="T49" s="1">
        <v>7.6226000000000003</v>
      </c>
      <c r="U49" s="1">
        <v>7.5269000000000004</v>
      </c>
      <c r="V49" s="1">
        <v>8.6762999999999995</v>
      </c>
      <c r="W49" s="1">
        <v>7.4462999999999999</v>
      </c>
      <c r="X49" s="1">
        <f t="shared" si="5"/>
        <v>7.6182600000000011</v>
      </c>
      <c r="Y49" s="1">
        <f t="shared" si="4"/>
        <v>0.54453849644011687</v>
      </c>
      <c r="Z49" s="1">
        <f t="shared" si="6"/>
        <v>7.1478066702910734</v>
      </c>
      <c r="AA49" s="1">
        <f t="shared" si="7"/>
        <v>6.7602000000000002</v>
      </c>
      <c r="AB49" s="1">
        <f t="shared" si="8"/>
        <v>8.8025000000000002</v>
      </c>
    </row>
    <row r="50" spans="1:28">
      <c r="A50" t="s">
        <v>41</v>
      </c>
      <c r="B50" t="s">
        <v>36</v>
      </c>
      <c r="C50" t="s">
        <v>33</v>
      </c>
      <c r="D50" s="1">
        <v>11.6488</v>
      </c>
      <c r="E50" s="1">
        <v>10.553100000000001</v>
      </c>
      <c r="F50" s="1">
        <v>9.9383999999999997</v>
      </c>
      <c r="G50" s="1">
        <v>10.2997</v>
      </c>
      <c r="H50" s="1">
        <v>10.9445</v>
      </c>
      <c r="I50" s="1">
        <v>10.0847</v>
      </c>
      <c r="J50" s="1">
        <v>9.8215000000000003</v>
      </c>
      <c r="K50" s="1">
        <v>10.800700000000001</v>
      </c>
      <c r="L50" s="1">
        <v>11.1007</v>
      </c>
      <c r="M50" s="1">
        <v>10.0495</v>
      </c>
      <c r="N50" s="1">
        <v>10.528700000000001</v>
      </c>
      <c r="O50" s="1">
        <v>10.4193</v>
      </c>
      <c r="P50" s="1">
        <v>11.582599999999999</v>
      </c>
      <c r="Q50" s="1">
        <v>10.830399999999999</v>
      </c>
      <c r="R50" s="1">
        <v>8.5787999999999993</v>
      </c>
      <c r="S50" s="1">
        <v>10.821400000000001</v>
      </c>
      <c r="T50" s="1">
        <v>10.031000000000001</v>
      </c>
      <c r="U50" s="1">
        <v>10.421099999999999</v>
      </c>
      <c r="V50" s="1">
        <v>9.9859000000000009</v>
      </c>
      <c r="W50" s="1">
        <v>11.606</v>
      </c>
      <c r="X50" s="1">
        <f t="shared" si="5"/>
        <v>10.50234</v>
      </c>
      <c r="Y50" s="1">
        <f t="shared" si="4"/>
        <v>0.7239927859483567</v>
      </c>
      <c r="Z50" s="1">
        <f t="shared" si="6"/>
        <v>6.8936330946089797</v>
      </c>
      <c r="AA50" s="1">
        <f t="shared" si="7"/>
        <v>8.5787999999999993</v>
      </c>
      <c r="AB50" s="1">
        <f t="shared" si="8"/>
        <v>11.6488</v>
      </c>
    </row>
    <row r="51" spans="1:28">
      <c r="A51" t="s">
        <v>41</v>
      </c>
      <c r="B51" t="s">
        <v>36</v>
      </c>
      <c r="C51" t="s">
        <v>34</v>
      </c>
      <c r="D51" s="1">
        <v>13.0029</v>
      </c>
      <c r="E51" s="1">
        <v>13.1707</v>
      </c>
      <c r="F51" s="1">
        <v>12.516299999999999</v>
      </c>
      <c r="G51" s="1">
        <v>12.830399999999999</v>
      </c>
      <c r="H51" s="1">
        <v>12.7425</v>
      </c>
      <c r="I51" s="1">
        <v>13.254899999999999</v>
      </c>
      <c r="J51" s="1">
        <v>12.5015</v>
      </c>
      <c r="K51" s="1">
        <v>12.2326</v>
      </c>
      <c r="L51" s="1">
        <v>12.2906</v>
      </c>
      <c r="M51" s="1">
        <v>13.0198</v>
      </c>
      <c r="N51" s="1">
        <v>12.4786</v>
      </c>
      <c r="O51" s="1">
        <v>12.353999999999999</v>
      </c>
      <c r="P51" s="1">
        <v>12.503</v>
      </c>
      <c r="Q51" s="1">
        <v>13.523899999999999</v>
      </c>
      <c r="R51" s="1">
        <v>14.2249</v>
      </c>
      <c r="S51" s="1">
        <v>12.186500000000001</v>
      </c>
      <c r="T51" s="1">
        <v>12.61</v>
      </c>
      <c r="U51" s="1">
        <v>13.915900000000001</v>
      </c>
      <c r="V51" s="1">
        <v>12.785399999999999</v>
      </c>
      <c r="W51" s="1">
        <v>13.614599999999999</v>
      </c>
      <c r="X51" s="1">
        <f t="shared" si="5"/>
        <v>12.887949999999998</v>
      </c>
      <c r="Y51" s="1">
        <f t="shared" si="4"/>
        <v>0.57585972021701692</v>
      </c>
      <c r="Z51" s="1">
        <f t="shared" si="6"/>
        <v>4.4682026250646301</v>
      </c>
      <c r="AA51" s="1">
        <f t="shared" si="7"/>
        <v>12.186500000000001</v>
      </c>
      <c r="AB51" s="1">
        <f t="shared" si="8"/>
        <v>14.2249</v>
      </c>
    </row>
    <row r="52" spans="1:28">
      <c r="A52" t="s">
        <v>41</v>
      </c>
      <c r="B52" t="s">
        <v>37</v>
      </c>
      <c r="C52" t="s">
        <v>30</v>
      </c>
      <c r="D52" s="1">
        <v>2.9521000000000002</v>
      </c>
      <c r="E52" s="1">
        <v>3.1897000000000002</v>
      </c>
      <c r="F52" s="1">
        <v>3.28</v>
      </c>
      <c r="G52" s="1">
        <v>3.2833000000000001</v>
      </c>
      <c r="H52" s="1">
        <v>3.1642999999999999</v>
      </c>
      <c r="I52" s="1">
        <v>3.5026999999999999</v>
      </c>
      <c r="J52" s="1">
        <v>3.1781000000000001</v>
      </c>
      <c r="K52" s="1">
        <v>3.2446000000000002</v>
      </c>
      <c r="L52" s="1">
        <v>3.2256</v>
      </c>
      <c r="M52" s="1">
        <v>3.2448000000000001</v>
      </c>
      <c r="N52" s="1">
        <v>3.0992999999999999</v>
      </c>
      <c r="O52" s="1">
        <v>3.1040999999999999</v>
      </c>
      <c r="P52" s="1">
        <v>3.1457999999999999</v>
      </c>
      <c r="Q52" s="1">
        <v>3.2715999999999998</v>
      </c>
      <c r="R52" s="1">
        <v>3.0733000000000001</v>
      </c>
      <c r="S52" s="1">
        <v>3.2105000000000001</v>
      </c>
      <c r="T52" s="1">
        <v>3.2101000000000002</v>
      </c>
      <c r="U52" s="1">
        <v>3.1482000000000001</v>
      </c>
      <c r="V52" s="1">
        <v>3.2323</v>
      </c>
      <c r="W52" s="1">
        <v>3.1541000000000001</v>
      </c>
      <c r="X52" s="1">
        <f t="shared" si="5"/>
        <v>3.1957250000000004</v>
      </c>
      <c r="Y52" s="1">
        <f t="shared" si="4"/>
        <v>0.10810979251132664</v>
      </c>
      <c r="Z52" s="1">
        <f t="shared" si="6"/>
        <v>3.3829504263141108</v>
      </c>
      <c r="AA52" s="1">
        <f t="shared" si="7"/>
        <v>2.9521000000000002</v>
      </c>
      <c r="AB52" s="1">
        <f t="shared" si="8"/>
        <v>3.5026999999999999</v>
      </c>
    </row>
    <row r="53" spans="1:28">
      <c r="A53" t="s">
        <v>41</v>
      </c>
      <c r="B53" t="s">
        <v>37</v>
      </c>
      <c r="C53" t="s">
        <v>31</v>
      </c>
      <c r="D53" s="1">
        <v>4.4852999999999996</v>
      </c>
      <c r="E53" s="1">
        <v>4.8407</v>
      </c>
      <c r="F53" s="1">
        <v>4.4291999999999998</v>
      </c>
      <c r="G53" s="1">
        <v>4.6280999999999999</v>
      </c>
      <c r="H53" s="1">
        <v>5.1891999999999996</v>
      </c>
      <c r="I53" s="1">
        <v>4.6406000000000001</v>
      </c>
      <c r="J53" s="1">
        <v>4.742</v>
      </c>
      <c r="K53" s="1">
        <v>4.7694999999999999</v>
      </c>
      <c r="L53" s="1">
        <v>4.7363</v>
      </c>
      <c r="M53" s="1">
        <v>4.6363000000000003</v>
      </c>
      <c r="N53" s="1">
        <v>4.8787000000000003</v>
      </c>
      <c r="O53" s="1">
        <v>4.6593999999999998</v>
      </c>
      <c r="P53" s="1">
        <v>4.6036000000000001</v>
      </c>
      <c r="Q53" s="1">
        <v>4.3795999999999999</v>
      </c>
      <c r="R53" s="1">
        <v>4.6079999999999997</v>
      </c>
      <c r="S53" s="1">
        <v>4.7896000000000001</v>
      </c>
      <c r="T53" s="1">
        <v>4.6551</v>
      </c>
      <c r="U53" s="1">
        <v>4.6489000000000003</v>
      </c>
      <c r="V53" s="1">
        <v>4.8014000000000001</v>
      </c>
      <c r="W53" s="1">
        <v>4.8586999999999998</v>
      </c>
      <c r="X53" s="1">
        <f t="shared" si="5"/>
        <v>4.6990099999999995</v>
      </c>
      <c r="Y53" s="1">
        <f t="shared" si="4"/>
        <v>0.17789826453992122</v>
      </c>
      <c r="Z53" s="1">
        <f t="shared" si="6"/>
        <v>3.7858669068574282</v>
      </c>
      <c r="AA53" s="1">
        <f t="shared" si="7"/>
        <v>4.3795999999999999</v>
      </c>
      <c r="AB53" s="1">
        <f t="shared" si="8"/>
        <v>5.1891999999999996</v>
      </c>
    </row>
    <row r="54" spans="1:28">
      <c r="A54" t="s">
        <v>41</v>
      </c>
      <c r="B54" t="s">
        <v>37</v>
      </c>
      <c r="C54" t="s">
        <v>32</v>
      </c>
      <c r="D54" s="1">
        <v>6.2427999999999999</v>
      </c>
      <c r="E54" s="1">
        <v>6.5842999999999998</v>
      </c>
      <c r="F54" s="1">
        <v>6.5022000000000002</v>
      </c>
      <c r="G54" s="1">
        <v>6.7031999999999998</v>
      </c>
      <c r="H54" s="1">
        <v>6.9908000000000001</v>
      </c>
      <c r="I54" s="1">
        <v>5.7686999999999999</v>
      </c>
      <c r="J54" s="1">
        <v>6.4542999999999999</v>
      </c>
      <c r="K54" s="1">
        <v>7.0073999999999996</v>
      </c>
      <c r="L54" s="1">
        <v>7.3224999999999998</v>
      </c>
      <c r="M54" s="1">
        <v>7.6006</v>
      </c>
      <c r="N54" s="1">
        <v>7.0254000000000003</v>
      </c>
      <c r="O54" s="1">
        <v>6.4821999999999997</v>
      </c>
      <c r="P54" s="1">
        <v>6.8085000000000004</v>
      </c>
      <c r="Q54" s="1">
        <v>7.1193</v>
      </c>
      <c r="R54" s="1">
        <v>7.3362999999999996</v>
      </c>
      <c r="S54" s="1">
        <v>6.5833000000000004</v>
      </c>
      <c r="T54" s="1">
        <v>7.2004999999999999</v>
      </c>
      <c r="U54" s="1">
        <v>7.3654999999999999</v>
      </c>
      <c r="V54" s="1">
        <v>7.3982000000000001</v>
      </c>
      <c r="W54" s="1">
        <v>7.5841000000000003</v>
      </c>
      <c r="X54" s="1">
        <f t="shared" si="5"/>
        <v>6.9040049999999997</v>
      </c>
      <c r="Y54" s="1">
        <f t="shared" si="4"/>
        <v>0.48430289942838134</v>
      </c>
      <c r="Z54" s="1">
        <f t="shared" si="6"/>
        <v>7.0148109601366357</v>
      </c>
      <c r="AA54" s="1">
        <f t="shared" si="7"/>
        <v>5.7686999999999999</v>
      </c>
      <c r="AB54" s="1">
        <f t="shared" si="8"/>
        <v>7.6006</v>
      </c>
    </row>
    <row r="55" spans="1:28">
      <c r="A55" t="s">
        <v>41</v>
      </c>
      <c r="B55" t="s">
        <v>37</v>
      </c>
      <c r="C55" t="s">
        <v>33</v>
      </c>
      <c r="D55" s="1">
        <v>10.277200000000001</v>
      </c>
      <c r="E55" s="1">
        <v>9.5611999999999995</v>
      </c>
      <c r="F55" s="1">
        <v>9.4999000000000002</v>
      </c>
      <c r="G55" s="1">
        <v>9.3036999999999992</v>
      </c>
      <c r="H55" s="1">
        <v>9.7667999999999999</v>
      </c>
      <c r="I55" s="1">
        <v>10.071300000000001</v>
      </c>
      <c r="J55" s="1">
        <v>9.6113</v>
      </c>
      <c r="K55" s="1">
        <v>9.7126000000000001</v>
      </c>
      <c r="L55" s="1">
        <v>9.4804999999999993</v>
      </c>
      <c r="M55" s="1">
        <v>10.3041</v>
      </c>
      <c r="N55" s="1">
        <v>10.1249</v>
      </c>
      <c r="O55" s="1">
        <v>9.3829999999999991</v>
      </c>
      <c r="P55" s="1">
        <v>9.7521000000000004</v>
      </c>
      <c r="Q55" s="1">
        <v>9.2925000000000004</v>
      </c>
      <c r="R55" s="1">
        <v>9.5983999999999998</v>
      </c>
      <c r="S55" s="1">
        <v>8.8924000000000003</v>
      </c>
      <c r="T55" s="1">
        <v>9.4687999999999999</v>
      </c>
      <c r="U55" s="1">
        <v>9.6494999999999997</v>
      </c>
      <c r="V55" s="1">
        <v>9.5082000000000004</v>
      </c>
      <c r="W55" s="1">
        <v>9.1496999999999993</v>
      </c>
      <c r="X55" s="1">
        <f t="shared" si="5"/>
        <v>9.6204049999999963</v>
      </c>
      <c r="Y55" s="1">
        <f t="shared" si="4"/>
        <v>0.36232016588269456</v>
      </c>
      <c r="Z55" s="1">
        <f t="shared" si="6"/>
        <v>3.7661633359790434</v>
      </c>
      <c r="AA55" s="1">
        <f t="shared" si="7"/>
        <v>8.8924000000000003</v>
      </c>
      <c r="AB55" s="1">
        <f t="shared" si="8"/>
        <v>10.3041</v>
      </c>
    </row>
    <row r="56" spans="1:28">
      <c r="A56" t="s">
        <v>41</v>
      </c>
      <c r="B56" t="s">
        <v>37</v>
      </c>
      <c r="C56" t="s">
        <v>34</v>
      </c>
      <c r="D56" s="1">
        <v>13.315</v>
      </c>
      <c r="E56" s="1">
        <v>11.076000000000001</v>
      </c>
      <c r="F56" s="1">
        <v>12.5122</v>
      </c>
      <c r="G56" s="1">
        <v>9.6235999999999997</v>
      </c>
      <c r="H56" s="1">
        <v>12.0793</v>
      </c>
      <c r="I56" s="1">
        <v>12.556800000000001</v>
      </c>
      <c r="J56" s="1">
        <v>11.390599999999999</v>
      </c>
      <c r="K56" s="1">
        <v>11.8712</v>
      </c>
      <c r="L56" s="1">
        <v>12.355399999999999</v>
      </c>
      <c r="M56" s="1">
        <v>12.234</v>
      </c>
      <c r="N56" s="1">
        <v>11.167400000000001</v>
      </c>
      <c r="O56" s="1">
        <v>11.7507</v>
      </c>
      <c r="P56" s="1">
        <v>11.648</v>
      </c>
      <c r="Q56" s="1">
        <v>11.649100000000001</v>
      </c>
      <c r="R56" s="1">
        <v>11.5243</v>
      </c>
      <c r="S56" s="1">
        <v>9.3785000000000007</v>
      </c>
      <c r="T56" s="1">
        <v>11.704000000000001</v>
      </c>
      <c r="U56" s="1">
        <v>11.6121</v>
      </c>
      <c r="V56" s="1">
        <v>11.6692</v>
      </c>
      <c r="W56" s="1">
        <v>11.559100000000001</v>
      </c>
      <c r="X56" s="1">
        <f t="shared" si="5"/>
        <v>11.633824999999998</v>
      </c>
      <c r="Y56" s="1">
        <f t="shared" si="4"/>
        <v>0.89851182628482074</v>
      </c>
      <c r="Z56" s="1">
        <f t="shared" si="6"/>
        <v>7.723270947300831</v>
      </c>
      <c r="AA56" s="1">
        <f t="shared" si="7"/>
        <v>9.3785000000000007</v>
      </c>
      <c r="AB56" s="1">
        <f t="shared" si="8"/>
        <v>13.315</v>
      </c>
    </row>
    <row r="57" spans="1:28">
      <c r="A57" t="s">
        <v>41</v>
      </c>
      <c r="B57" t="s">
        <v>38</v>
      </c>
      <c r="C57" t="s">
        <v>30</v>
      </c>
      <c r="D57" s="1">
        <v>2.8542999999999998</v>
      </c>
      <c r="E57" s="1">
        <v>2.76</v>
      </c>
      <c r="F57" s="1">
        <v>3.1640000000000001</v>
      </c>
      <c r="G57" s="1">
        <v>2.4597000000000002</v>
      </c>
      <c r="H57" s="1">
        <v>2.76</v>
      </c>
      <c r="I57" s="1">
        <v>3.1858</v>
      </c>
      <c r="J57" s="1">
        <v>2.3027000000000002</v>
      </c>
      <c r="K57" s="1">
        <v>2.6775000000000002</v>
      </c>
      <c r="L57" s="1">
        <v>3.0470000000000002</v>
      </c>
      <c r="M57" s="1">
        <v>2.4033000000000002</v>
      </c>
      <c r="N57" s="1">
        <v>2.8386</v>
      </c>
      <c r="O57" s="1">
        <v>2.8003</v>
      </c>
      <c r="P57" s="1">
        <v>2.6154999999999999</v>
      </c>
      <c r="Q57" s="1">
        <v>2.7856999999999998</v>
      </c>
      <c r="R57" s="1">
        <v>2.9639000000000002</v>
      </c>
      <c r="S57" s="1">
        <v>2.5246</v>
      </c>
      <c r="T57" s="1">
        <v>2.8472</v>
      </c>
      <c r="U57" s="1">
        <v>2.5438999999999998</v>
      </c>
      <c r="V57" s="1">
        <v>2.8214999999999999</v>
      </c>
      <c r="W57" s="1">
        <v>3.6730999999999998</v>
      </c>
      <c r="X57" s="1">
        <f t="shared" si="5"/>
        <v>2.8014300000000003</v>
      </c>
      <c r="Y57" s="1">
        <f t="shared" si="4"/>
        <v>0.31228924025483984</v>
      </c>
      <c r="Z57" s="1">
        <f t="shared" si="6"/>
        <v>11.147493967539427</v>
      </c>
      <c r="AA57" s="1">
        <f t="shared" si="7"/>
        <v>2.3027000000000002</v>
      </c>
      <c r="AB57" s="1">
        <f t="shared" si="8"/>
        <v>3.6730999999999998</v>
      </c>
    </row>
    <row r="58" spans="1:28">
      <c r="A58" t="s">
        <v>41</v>
      </c>
      <c r="B58" t="s">
        <v>38</v>
      </c>
      <c r="C58" t="s">
        <v>31</v>
      </c>
      <c r="D58" s="1">
        <v>4.5437000000000003</v>
      </c>
      <c r="E58" s="1">
        <v>4.7766999999999999</v>
      </c>
      <c r="F58" s="1">
        <v>4.0658000000000003</v>
      </c>
      <c r="G58" s="1">
        <v>4.7892000000000001</v>
      </c>
      <c r="H58" s="1">
        <v>4.6001000000000003</v>
      </c>
      <c r="I58" s="1">
        <v>2.7606000000000002</v>
      </c>
      <c r="J58" s="1">
        <v>5.1440000000000001</v>
      </c>
      <c r="K58" s="1">
        <v>3.0911</v>
      </c>
      <c r="L58" s="1">
        <v>5.2266000000000004</v>
      </c>
      <c r="M58" s="1">
        <v>3.6715</v>
      </c>
      <c r="N58" s="1">
        <v>3.5886</v>
      </c>
      <c r="O58" s="1">
        <v>4.2244999999999999</v>
      </c>
      <c r="P58" s="1">
        <v>4.1832000000000003</v>
      </c>
      <c r="Q58" s="1">
        <v>4.0167000000000002</v>
      </c>
      <c r="R58" s="1">
        <v>4.0416999999999996</v>
      </c>
      <c r="S58" s="1">
        <v>4.6817000000000002</v>
      </c>
      <c r="T58" s="1">
        <v>3.1204000000000001</v>
      </c>
      <c r="U58" s="1">
        <v>3.9478</v>
      </c>
      <c r="V58" s="1">
        <v>3.6360999999999999</v>
      </c>
      <c r="W58" s="1">
        <v>3.8309000000000002</v>
      </c>
      <c r="X58" s="1">
        <f t="shared" si="5"/>
        <v>4.0970449999999996</v>
      </c>
      <c r="Y58" s="1">
        <f t="shared" si="4"/>
        <v>0.67428698206639937</v>
      </c>
      <c r="Z58" s="1">
        <f t="shared" si="6"/>
        <v>16.457885672878852</v>
      </c>
      <c r="AA58" s="1">
        <f t="shared" si="7"/>
        <v>2.7606000000000002</v>
      </c>
      <c r="AB58" s="1">
        <f t="shared" si="8"/>
        <v>5.2266000000000004</v>
      </c>
    </row>
    <row r="59" spans="1:28">
      <c r="A59" t="s">
        <v>41</v>
      </c>
      <c r="B59" t="s">
        <v>38</v>
      </c>
      <c r="C59" t="s">
        <v>32</v>
      </c>
      <c r="D59" s="1">
        <v>5.9825999999999997</v>
      </c>
      <c r="E59" s="1">
        <v>5.8331</v>
      </c>
      <c r="F59" s="1">
        <v>6.1243999999999996</v>
      </c>
      <c r="G59" s="1">
        <v>5.923</v>
      </c>
      <c r="H59" s="1">
        <v>5.7374000000000001</v>
      </c>
      <c r="I59" s="1">
        <v>5.5350999999999999</v>
      </c>
      <c r="J59" s="1">
        <v>6.4257</v>
      </c>
      <c r="K59" s="1">
        <v>6.0583</v>
      </c>
      <c r="L59" s="1">
        <v>5.8937999999999997</v>
      </c>
      <c r="M59" s="1">
        <v>5.8735999999999997</v>
      </c>
      <c r="N59" s="1">
        <v>5.8635000000000002</v>
      </c>
      <c r="O59" s="1">
        <v>5.9108999999999998</v>
      </c>
      <c r="P59" s="1">
        <v>5.7986000000000004</v>
      </c>
      <c r="Q59" s="1">
        <v>6.5419</v>
      </c>
      <c r="R59" s="1">
        <v>6.2724000000000002</v>
      </c>
      <c r="S59" s="1">
        <v>6.1416000000000004</v>
      </c>
      <c r="T59" s="1">
        <v>6.0275999999999996</v>
      </c>
      <c r="U59" s="1">
        <v>5.9527000000000001</v>
      </c>
      <c r="V59" s="1">
        <v>5.7331000000000003</v>
      </c>
      <c r="W59" s="1">
        <v>6.2327000000000004</v>
      </c>
      <c r="X59" s="1">
        <f t="shared" si="5"/>
        <v>5.9931000000000001</v>
      </c>
      <c r="Y59" s="1">
        <f t="shared" si="4"/>
        <v>0.24376444410644946</v>
      </c>
      <c r="Z59" s="1">
        <f t="shared" si="6"/>
        <v>4.0674182661135214</v>
      </c>
      <c r="AA59" s="1">
        <f t="shared" si="7"/>
        <v>5.5350999999999999</v>
      </c>
      <c r="AB59" s="1">
        <f t="shared" si="8"/>
        <v>6.5419</v>
      </c>
    </row>
    <row r="60" spans="1:28">
      <c r="A60" t="s">
        <v>41</v>
      </c>
      <c r="B60" t="s">
        <v>38</v>
      </c>
      <c r="C60" t="s">
        <v>33</v>
      </c>
      <c r="D60" s="1">
        <v>8.6887000000000008</v>
      </c>
      <c r="E60" s="1">
        <v>8.3840000000000003</v>
      </c>
      <c r="F60" s="1">
        <v>8.2287999999999997</v>
      </c>
      <c r="G60" s="1">
        <v>8.6969999999999992</v>
      </c>
      <c r="H60" s="1">
        <v>7.5115999999999996</v>
      </c>
      <c r="I60" s="1">
        <v>8.0640000000000001</v>
      </c>
      <c r="J60" s="1">
        <v>7.3432000000000004</v>
      </c>
      <c r="K60" s="1">
        <v>9.0277999999999992</v>
      </c>
      <c r="L60" s="1">
        <v>8.3330000000000002</v>
      </c>
      <c r="M60" s="1">
        <v>8.7714999999999996</v>
      </c>
      <c r="N60" s="1">
        <v>8.6709999999999994</v>
      </c>
      <c r="O60" s="1">
        <v>8.2997999999999994</v>
      </c>
      <c r="P60" s="1">
        <v>9.6155000000000008</v>
      </c>
      <c r="Q60" s="1">
        <v>9.6090999999999998</v>
      </c>
      <c r="R60" s="1">
        <v>9.0396999999999998</v>
      </c>
      <c r="S60" s="1">
        <v>8.7005999999999997</v>
      </c>
      <c r="T60" s="1">
        <v>8.5074000000000005</v>
      </c>
      <c r="U60" s="1">
        <v>8.9306999999999999</v>
      </c>
      <c r="V60" s="1">
        <v>8.3657000000000004</v>
      </c>
      <c r="W60" s="1">
        <v>9.2820999999999998</v>
      </c>
      <c r="X60" s="1">
        <f t="shared" si="5"/>
        <v>8.6035599999999981</v>
      </c>
      <c r="Y60" s="1">
        <f t="shared" si="4"/>
        <v>0.58592590909377651</v>
      </c>
      <c r="Z60" s="1">
        <f t="shared" si="6"/>
        <v>6.8102728300119555</v>
      </c>
      <c r="AA60" s="1">
        <f t="shared" si="7"/>
        <v>7.3432000000000004</v>
      </c>
      <c r="AB60" s="1">
        <f t="shared" si="8"/>
        <v>9.6155000000000008</v>
      </c>
    </row>
    <row r="61" spans="1:28">
      <c r="A61" t="s">
        <v>41</v>
      </c>
      <c r="B61" t="s">
        <v>38</v>
      </c>
      <c r="C61" t="s">
        <v>34</v>
      </c>
      <c r="D61" s="1">
        <v>10.472300000000001</v>
      </c>
      <c r="E61" s="1">
        <v>10.5938</v>
      </c>
      <c r="F61" s="1">
        <v>13.304600000000001</v>
      </c>
      <c r="G61" s="1">
        <v>11.286099999999999</v>
      </c>
      <c r="H61" s="1">
        <v>11.3786</v>
      </c>
      <c r="I61" s="1">
        <v>10.8598</v>
      </c>
      <c r="J61" s="1">
        <v>8.0214999999999996</v>
      </c>
      <c r="K61" s="1">
        <v>10.648999999999999</v>
      </c>
      <c r="L61" s="1">
        <v>10.6541</v>
      </c>
      <c r="M61" s="1">
        <v>10.1942</v>
      </c>
      <c r="N61" s="1">
        <v>10.8155</v>
      </c>
      <c r="O61" s="1">
        <v>9.9675999999999991</v>
      </c>
      <c r="P61" s="1">
        <v>11.9627</v>
      </c>
      <c r="Q61" s="1">
        <v>10.07</v>
      </c>
      <c r="R61" s="1">
        <v>11.164999999999999</v>
      </c>
      <c r="S61" s="1">
        <v>9.9492999999999991</v>
      </c>
      <c r="T61" s="1">
        <v>9.8516999999999992</v>
      </c>
      <c r="U61" s="1">
        <v>9.0035000000000007</v>
      </c>
      <c r="V61" s="1">
        <v>9.6835000000000004</v>
      </c>
      <c r="W61" s="1">
        <v>10.6404</v>
      </c>
      <c r="X61" s="1">
        <f t="shared" si="5"/>
        <v>10.526159999999999</v>
      </c>
      <c r="Y61" s="1">
        <f t="shared" si="4"/>
        <v>1.0873070845950292</v>
      </c>
      <c r="Z61" s="1">
        <f t="shared" si="6"/>
        <v>10.329570181291462</v>
      </c>
      <c r="AA61" s="1">
        <f t="shared" si="7"/>
        <v>8.0214999999999996</v>
      </c>
      <c r="AB61" s="1">
        <f t="shared" si="8"/>
        <v>13.304600000000001</v>
      </c>
    </row>
    <row r="62" spans="1:28">
      <c r="A62" t="s">
        <v>41</v>
      </c>
      <c r="B62" t="s">
        <v>39</v>
      </c>
      <c r="C62" t="s">
        <v>30</v>
      </c>
      <c r="D62" s="1">
        <v>2.5091000000000001</v>
      </c>
      <c r="E62" s="1">
        <v>2.1326999999999998</v>
      </c>
      <c r="F62" s="1">
        <v>2.5669</v>
      </c>
      <c r="G62" s="1">
        <v>2.3586999999999998</v>
      </c>
      <c r="H62" s="1">
        <v>2.7967</v>
      </c>
      <c r="I62" s="1">
        <v>2.2917999999999998</v>
      </c>
      <c r="J62" s="1">
        <v>2.5512000000000001</v>
      </c>
      <c r="K62" s="1">
        <v>2.4758</v>
      </c>
      <c r="L62" s="1">
        <v>2.4462999999999999</v>
      </c>
      <c r="M62" s="1">
        <v>2.7176</v>
      </c>
      <c r="N62" s="1">
        <v>2.5510999999999999</v>
      </c>
      <c r="O62" s="1">
        <v>2.3666999999999998</v>
      </c>
      <c r="P62" s="1">
        <v>2.3755000000000002</v>
      </c>
      <c r="Q62" s="1">
        <v>2.3294999999999999</v>
      </c>
      <c r="R62" s="1">
        <v>2.5341999999999998</v>
      </c>
      <c r="S62" s="1">
        <v>2.7223999999999999</v>
      </c>
      <c r="T62" s="1">
        <v>2.6328</v>
      </c>
      <c r="U62" s="1">
        <v>2.2633000000000001</v>
      </c>
      <c r="V62" s="1">
        <v>2.7021999999999999</v>
      </c>
      <c r="W62" s="1">
        <v>2.6732</v>
      </c>
      <c r="X62" s="1">
        <f t="shared" si="5"/>
        <v>2.4998850000000004</v>
      </c>
      <c r="Y62" s="1">
        <f t="shared" si="4"/>
        <v>0.17835204770636259</v>
      </c>
      <c r="Z62" s="1">
        <f t="shared" si="6"/>
        <v>7.1344100911186938</v>
      </c>
      <c r="AA62" s="1">
        <f t="shared" si="7"/>
        <v>2.1326999999999998</v>
      </c>
      <c r="AB62" s="1">
        <f t="shared" si="8"/>
        <v>2.7967</v>
      </c>
    </row>
    <row r="63" spans="1:28">
      <c r="A63" t="s">
        <v>41</v>
      </c>
      <c r="B63" t="s">
        <v>39</v>
      </c>
      <c r="C63" t="s">
        <v>31</v>
      </c>
      <c r="D63" s="1">
        <v>3.7484000000000002</v>
      </c>
      <c r="E63" s="1">
        <v>4.0124000000000004</v>
      </c>
      <c r="F63" s="1">
        <v>3.4601999999999999</v>
      </c>
      <c r="G63" s="1">
        <v>3.8163</v>
      </c>
      <c r="H63" s="1">
        <v>3.4129999999999998</v>
      </c>
      <c r="I63" s="1">
        <v>3.7501000000000002</v>
      </c>
      <c r="J63" s="1">
        <v>3.7469000000000001</v>
      </c>
      <c r="K63" s="1">
        <v>3.625</v>
      </c>
      <c r="L63" s="1">
        <v>3.9308000000000001</v>
      </c>
      <c r="M63" s="1">
        <v>3.3216999999999999</v>
      </c>
      <c r="N63" s="1">
        <v>4.1668000000000003</v>
      </c>
      <c r="O63" s="1">
        <v>3.3111999999999999</v>
      </c>
      <c r="P63" s="1">
        <v>3.5135999999999998</v>
      </c>
      <c r="Q63" s="1">
        <v>3.7862</v>
      </c>
      <c r="R63" s="1">
        <v>3.8714</v>
      </c>
      <c r="S63" s="1">
        <v>3.5840999999999998</v>
      </c>
      <c r="T63" s="1">
        <v>4.1224999999999996</v>
      </c>
      <c r="U63" s="1">
        <v>3.5560999999999998</v>
      </c>
      <c r="V63" s="1">
        <v>3.8613</v>
      </c>
      <c r="W63" s="1">
        <v>3.3843000000000001</v>
      </c>
      <c r="X63" s="1">
        <f t="shared" si="5"/>
        <v>3.6991149999999999</v>
      </c>
      <c r="Y63" s="1">
        <f t="shared" si="4"/>
        <v>0.25536197482047041</v>
      </c>
      <c r="Z63" s="1">
        <f t="shared" si="6"/>
        <v>6.9033261961434125</v>
      </c>
      <c r="AA63" s="1">
        <f t="shared" si="7"/>
        <v>3.3111999999999999</v>
      </c>
      <c r="AB63" s="1">
        <f t="shared" si="8"/>
        <v>4.1668000000000003</v>
      </c>
    </row>
    <row r="64" spans="1:28">
      <c r="A64" t="s">
        <v>41</v>
      </c>
      <c r="B64" t="s">
        <v>39</v>
      </c>
      <c r="C64" t="s">
        <v>32</v>
      </c>
      <c r="D64" s="1">
        <v>5.3162000000000003</v>
      </c>
      <c r="E64" s="1">
        <v>5.51</v>
      </c>
      <c r="F64" s="1">
        <v>5.2564000000000002</v>
      </c>
      <c r="G64" s="1">
        <v>5.5449999999999999</v>
      </c>
      <c r="H64" s="1">
        <v>5.7431000000000001</v>
      </c>
      <c r="I64" s="1">
        <v>5.3148999999999997</v>
      </c>
      <c r="J64" s="1">
        <v>5.1074000000000002</v>
      </c>
      <c r="K64" s="1">
        <v>5.3699000000000003</v>
      </c>
      <c r="L64" s="1">
        <v>5.4043999999999999</v>
      </c>
      <c r="M64" s="1">
        <v>5.4995000000000003</v>
      </c>
      <c r="N64" s="1">
        <v>5.4359999999999999</v>
      </c>
      <c r="O64" s="1">
        <v>5.4634</v>
      </c>
      <c r="P64" s="1">
        <v>5.3053999999999997</v>
      </c>
      <c r="Q64" s="1">
        <v>5.55</v>
      </c>
      <c r="R64" s="1">
        <v>5.6074000000000002</v>
      </c>
      <c r="S64" s="1">
        <v>5.1439000000000004</v>
      </c>
      <c r="T64" s="1">
        <v>5.5506000000000002</v>
      </c>
      <c r="U64" s="1">
        <v>5.5026999999999999</v>
      </c>
      <c r="V64" s="1">
        <v>5.2393999999999998</v>
      </c>
      <c r="W64" s="1">
        <v>5.1394000000000002</v>
      </c>
      <c r="X64" s="1">
        <f t="shared" si="5"/>
        <v>5.4002500000000007</v>
      </c>
      <c r="Y64" s="1">
        <f t="shared" si="4"/>
        <v>0.1708286630084751</v>
      </c>
      <c r="Z64" s="1">
        <f t="shared" si="6"/>
        <v>3.163347308151939</v>
      </c>
      <c r="AA64" s="1">
        <f t="shared" si="7"/>
        <v>5.1074000000000002</v>
      </c>
      <c r="AB64" s="1">
        <f t="shared" si="8"/>
        <v>5.7431000000000001</v>
      </c>
    </row>
    <row r="65" spans="1:28">
      <c r="A65" t="s">
        <v>41</v>
      </c>
      <c r="B65" t="s">
        <v>39</v>
      </c>
      <c r="C65" t="s">
        <v>33</v>
      </c>
      <c r="D65" s="1">
        <v>8.1896000000000004</v>
      </c>
      <c r="E65" s="1">
        <v>7.7550999999999997</v>
      </c>
      <c r="F65" s="1">
        <v>7.4898999999999996</v>
      </c>
      <c r="G65" s="1">
        <v>7.2064000000000004</v>
      </c>
      <c r="H65" s="1">
        <v>7.8101000000000003</v>
      </c>
      <c r="I65" s="1">
        <v>7.7271000000000001</v>
      </c>
      <c r="J65" s="1">
        <v>7.7892999999999999</v>
      </c>
      <c r="K65" s="1">
        <v>7.0968</v>
      </c>
      <c r="L65" s="1">
        <v>7.7914000000000003</v>
      </c>
      <c r="M65" s="1">
        <v>8.4639000000000006</v>
      </c>
      <c r="N65" s="1">
        <v>7.3292000000000002</v>
      </c>
      <c r="O65" s="1">
        <v>7.3456999999999999</v>
      </c>
      <c r="P65" s="1">
        <v>8.1823999999999995</v>
      </c>
      <c r="Q65" s="1">
        <v>7.8010000000000002</v>
      </c>
      <c r="R65" s="1">
        <v>6.9896000000000003</v>
      </c>
      <c r="S65" s="1">
        <v>8.3033000000000001</v>
      </c>
      <c r="T65" s="1">
        <v>8.4888999999999992</v>
      </c>
      <c r="U65" s="1">
        <v>7.2030000000000003</v>
      </c>
      <c r="V65" s="1">
        <v>8.2789999999999999</v>
      </c>
      <c r="W65" s="1">
        <v>6.7408999999999999</v>
      </c>
      <c r="X65" s="1">
        <f t="shared" si="5"/>
        <v>7.6991299999999994</v>
      </c>
      <c r="Y65" s="1">
        <f t="shared" si="4"/>
        <v>0.51330442808798837</v>
      </c>
      <c r="Z65" s="1">
        <f t="shared" si="6"/>
        <v>6.6670445633206397</v>
      </c>
      <c r="AA65" s="1">
        <f t="shared" si="7"/>
        <v>6.7408999999999999</v>
      </c>
      <c r="AB65" s="1">
        <f t="shared" si="8"/>
        <v>8.4888999999999992</v>
      </c>
    </row>
    <row r="66" spans="1:28">
      <c r="A66" t="s">
        <v>41</v>
      </c>
      <c r="B66" t="s">
        <v>39</v>
      </c>
      <c r="C66" t="s">
        <v>34</v>
      </c>
      <c r="D66" s="1">
        <v>10.2745</v>
      </c>
      <c r="E66" s="1">
        <v>8.4327000000000005</v>
      </c>
      <c r="F66" s="1">
        <v>9.3536999999999999</v>
      </c>
      <c r="G66" s="1">
        <v>9.7790999999999997</v>
      </c>
      <c r="H66" s="1">
        <v>10.1602</v>
      </c>
      <c r="I66" s="1">
        <v>9.6244999999999994</v>
      </c>
      <c r="J66" s="1">
        <v>9.7063000000000006</v>
      </c>
      <c r="K66" s="1">
        <v>9.2100000000000009</v>
      </c>
      <c r="L66" s="1">
        <v>9.9446999999999992</v>
      </c>
      <c r="M66" s="1">
        <v>9.2482000000000006</v>
      </c>
      <c r="N66" s="1">
        <v>9.6963000000000008</v>
      </c>
      <c r="O66" s="1">
        <v>8.8102</v>
      </c>
      <c r="P66" s="1">
        <v>9.9743999999999993</v>
      </c>
      <c r="Q66" s="1">
        <v>9.8202999999999996</v>
      </c>
      <c r="R66" s="1">
        <v>10.3621</v>
      </c>
      <c r="S66" s="1">
        <v>10.692399999999999</v>
      </c>
      <c r="T66" s="1">
        <v>7.7786999999999997</v>
      </c>
      <c r="U66" s="1">
        <v>9.1402000000000001</v>
      </c>
      <c r="V66" s="1">
        <v>8.1159999999999997</v>
      </c>
      <c r="W66" s="1">
        <v>9.7513000000000005</v>
      </c>
      <c r="X66" s="1">
        <f t="shared" ref="X66:X97" si="9">AVERAGE(D66:W66)</f>
        <v>9.4937899999999988</v>
      </c>
      <c r="Y66" s="1">
        <f t="shared" si="4"/>
        <v>0.75235317987176586</v>
      </c>
      <c r="Z66" s="1">
        <f t="shared" ref="Z66:Z97" si="10">IFERROR(Y66/X66*100,"")</f>
        <v>7.9246873995713614</v>
      </c>
      <c r="AA66" s="1">
        <f t="shared" ref="AA66:AA97" si="11">MIN(D66:W66)</f>
        <v>7.7786999999999997</v>
      </c>
      <c r="AB66" s="1">
        <f t="shared" ref="AB66:AB97" si="12">MAX(D66:W66)</f>
        <v>10.692399999999999</v>
      </c>
    </row>
    <row r="67" spans="1:28">
      <c r="A67" t="s">
        <v>41</v>
      </c>
      <c r="B67" t="s">
        <v>40</v>
      </c>
      <c r="C67" t="s">
        <v>30</v>
      </c>
      <c r="D67" s="1">
        <v>2.3359999999999999</v>
      </c>
      <c r="E67" s="1">
        <v>2.3824000000000001</v>
      </c>
      <c r="F67" s="1">
        <v>2.2084000000000001</v>
      </c>
      <c r="G67" s="1">
        <v>1.8815</v>
      </c>
      <c r="H67" s="1">
        <v>2.1875</v>
      </c>
      <c r="I67" s="1">
        <v>2.3422999999999998</v>
      </c>
      <c r="J67" s="1">
        <v>2.1808000000000001</v>
      </c>
      <c r="K67" s="1">
        <v>2.6086999999999998</v>
      </c>
      <c r="L67" s="1">
        <v>1.9114</v>
      </c>
      <c r="M67" s="1">
        <v>2.0495999999999999</v>
      </c>
      <c r="N67" s="1">
        <v>2.5453999999999999</v>
      </c>
      <c r="O67" s="1">
        <v>2.0266000000000002</v>
      </c>
      <c r="P67" s="1">
        <v>2.1526999999999998</v>
      </c>
      <c r="Q67" s="1">
        <v>1.992</v>
      </c>
      <c r="R67" s="1">
        <v>1.9897</v>
      </c>
      <c r="S67" s="1">
        <v>2.0931999999999999</v>
      </c>
      <c r="T67" s="1">
        <v>2.5821999999999998</v>
      </c>
      <c r="U67" s="1">
        <v>2.1751</v>
      </c>
      <c r="V67" s="1">
        <v>2.2816999999999998</v>
      </c>
      <c r="W67" s="1">
        <v>2.0941999999999998</v>
      </c>
      <c r="X67" s="1">
        <f t="shared" si="9"/>
        <v>2.2010700000000005</v>
      </c>
      <c r="Y67" s="1">
        <f t="shared" ref="Y67:Y130" si="13">_xlfn.STDEV.S(D67:W67)</f>
        <v>0.21300400070371786</v>
      </c>
      <c r="Z67" s="1">
        <f t="shared" si="10"/>
        <v>9.6772933484040848</v>
      </c>
      <c r="AA67" s="1">
        <f t="shared" si="11"/>
        <v>1.8815</v>
      </c>
      <c r="AB67" s="1">
        <f t="shared" si="12"/>
        <v>2.6086999999999998</v>
      </c>
    </row>
    <row r="68" spans="1:28">
      <c r="A68" t="s">
        <v>41</v>
      </c>
      <c r="B68" t="s">
        <v>40</v>
      </c>
      <c r="C68" t="s">
        <v>31</v>
      </c>
      <c r="D68" s="1">
        <v>2.6254</v>
      </c>
      <c r="E68" s="1">
        <v>2.6890999999999998</v>
      </c>
      <c r="F68" s="1">
        <v>3.5253000000000001</v>
      </c>
      <c r="G68" s="1">
        <v>3.5722999999999998</v>
      </c>
      <c r="H68" s="1">
        <v>4.2457000000000003</v>
      </c>
      <c r="I68" s="1">
        <v>2.9948000000000001</v>
      </c>
      <c r="J68" s="1">
        <v>4.0275999999999996</v>
      </c>
      <c r="K68" s="1">
        <v>2.8803999999999998</v>
      </c>
      <c r="L68" s="1">
        <v>3.3083</v>
      </c>
      <c r="M68" s="1">
        <v>3.2822</v>
      </c>
      <c r="N68" s="1">
        <v>3.5592999999999999</v>
      </c>
      <c r="O68" s="1">
        <v>3.2145000000000001</v>
      </c>
      <c r="P68" s="1">
        <v>3.3494000000000002</v>
      </c>
      <c r="Q68" s="1">
        <v>2.9948999999999999</v>
      </c>
      <c r="R68" s="1">
        <v>2.6974999999999998</v>
      </c>
      <c r="S68" s="1">
        <v>3.5914000000000001</v>
      </c>
      <c r="T68" s="1">
        <v>3.4186999999999999</v>
      </c>
      <c r="U68" s="1">
        <v>2.9676</v>
      </c>
      <c r="V68" s="1">
        <v>3.6463000000000001</v>
      </c>
      <c r="W68" s="1">
        <v>3.4137</v>
      </c>
      <c r="X68" s="1">
        <f t="shared" si="9"/>
        <v>3.3002200000000004</v>
      </c>
      <c r="Y68" s="1">
        <f t="shared" si="13"/>
        <v>0.43054199086121514</v>
      </c>
      <c r="Z68" s="1">
        <f t="shared" si="10"/>
        <v>13.045857271976265</v>
      </c>
      <c r="AA68" s="1">
        <f t="shared" si="11"/>
        <v>2.6254</v>
      </c>
      <c r="AB68" s="1">
        <f t="shared" si="12"/>
        <v>4.2457000000000003</v>
      </c>
    </row>
    <row r="69" spans="1:28">
      <c r="A69" t="s">
        <v>41</v>
      </c>
      <c r="B69" t="s">
        <v>40</v>
      </c>
      <c r="C69" t="s">
        <v>32</v>
      </c>
      <c r="D69" s="1">
        <v>5.2382999999999997</v>
      </c>
      <c r="E69" s="1">
        <v>4.8141999999999996</v>
      </c>
      <c r="F69" s="1">
        <v>4.7986000000000004</v>
      </c>
      <c r="G69" s="1">
        <v>4.8186</v>
      </c>
      <c r="H69" s="1">
        <v>4.3025000000000002</v>
      </c>
      <c r="I69" s="1">
        <v>4.8103999999999996</v>
      </c>
      <c r="J69" s="1">
        <v>4.9771000000000001</v>
      </c>
      <c r="K69" s="1">
        <v>4.8315999999999999</v>
      </c>
      <c r="L69" s="1">
        <v>4.7465999999999999</v>
      </c>
      <c r="M69" s="1">
        <v>4.5903999999999998</v>
      </c>
      <c r="N69" s="1">
        <v>4.3042999999999996</v>
      </c>
      <c r="O69" s="1">
        <v>5.1276000000000002</v>
      </c>
      <c r="P69" s="1">
        <v>4.0084999999999997</v>
      </c>
      <c r="Q69" s="1">
        <v>4.6910999999999996</v>
      </c>
      <c r="R69" s="1">
        <v>5.2016</v>
      </c>
      <c r="S69" s="1">
        <v>5.5358000000000001</v>
      </c>
      <c r="T69" s="1">
        <v>4.2602000000000002</v>
      </c>
      <c r="U69" s="1">
        <v>4.5670000000000002</v>
      </c>
      <c r="V69" s="1">
        <v>4.4158999999999997</v>
      </c>
      <c r="W69" s="1">
        <v>5.7830000000000004</v>
      </c>
      <c r="X69" s="1">
        <f t="shared" si="9"/>
        <v>4.7911650000000003</v>
      </c>
      <c r="Y69" s="1">
        <f t="shared" si="13"/>
        <v>0.43958156931216696</v>
      </c>
      <c r="Z69" s="1">
        <f t="shared" si="10"/>
        <v>9.1748367946452891</v>
      </c>
      <c r="AA69" s="1">
        <f t="shared" si="11"/>
        <v>4.0084999999999997</v>
      </c>
      <c r="AB69" s="1">
        <f t="shared" si="12"/>
        <v>5.7830000000000004</v>
      </c>
    </row>
    <row r="70" spans="1:28">
      <c r="A70" t="s">
        <v>41</v>
      </c>
      <c r="B70" t="s">
        <v>40</v>
      </c>
      <c r="C70" t="s">
        <v>33</v>
      </c>
      <c r="D70" s="1">
        <v>7.3933999999999997</v>
      </c>
      <c r="E70" s="1">
        <v>6.4695</v>
      </c>
      <c r="F70" s="1">
        <v>7.1059000000000001</v>
      </c>
      <c r="G70" s="1">
        <v>6.585</v>
      </c>
      <c r="H70" s="1">
        <v>7.3963999999999999</v>
      </c>
      <c r="I70" s="1">
        <v>6.8041</v>
      </c>
      <c r="J70" s="1">
        <v>6.0171999999999999</v>
      </c>
      <c r="K70" s="1">
        <v>6.6646999999999998</v>
      </c>
      <c r="L70" s="1">
        <v>7.1258999999999997</v>
      </c>
      <c r="M70" s="1">
        <v>6.6185</v>
      </c>
      <c r="N70" s="1">
        <v>6.1075999999999997</v>
      </c>
      <c r="O70" s="1">
        <v>6.0934999999999997</v>
      </c>
      <c r="P70" s="1">
        <v>8.5771999999999995</v>
      </c>
      <c r="Q70" s="1">
        <v>6.9116</v>
      </c>
      <c r="R70" s="1">
        <v>7.0980999999999996</v>
      </c>
      <c r="S70" s="1">
        <v>6.9389000000000003</v>
      </c>
      <c r="T70" s="1">
        <v>6.2568000000000001</v>
      </c>
      <c r="U70" s="1">
        <v>7.2178000000000004</v>
      </c>
      <c r="V70" s="1">
        <v>7.0140000000000002</v>
      </c>
      <c r="W70" s="1">
        <v>7.9968000000000004</v>
      </c>
      <c r="X70" s="1">
        <f t="shared" si="9"/>
        <v>6.9196450000000009</v>
      </c>
      <c r="Y70" s="1">
        <f t="shared" si="13"/>
        <v>0.63437330905141498</v>
      </c>
      <c r="Z70" s="1">
        <f t="shared" si="10"/>
        <v>9.1677146595152621</v>
      </c>
      <c r="AA70" s="1">
        <f t="shared" si="11"/>
        <v>6.0171999999999999</v>
      </c>
      <c r="AB70" s="1">
        <f t="shared" si="12"/>
        <v>8.5771999999999995</v>
      </c>
    </row>
    <row r="71" spans="1:28">
      <c r="A71" t="s">
        <v>41</v>
      </c>
      <c r="B71" t="s">
        <v>40</v>
      </c>
      <c r="C71" t="s">
        <v>34</v>
      </c>
      <c r="D71" s="1">
        <v>7.8925999999999998</v>
      </c>
      <c r="E71" s="1">
        <v>8.5385000000000009</v>
      </c>
      <c r="F71" s="1">
        <v>7.7224000000000004</v>
      </c>
      <c r="G71" s="1">
        <v>9.4658999999999995</v>
      </c>
      <c r="H71" s="1">
        <v>7.8296000000000001</v>
      </c>
      <c r="I71" s="1">
        <v>9.1881000000000004</v>
      </c>
      <c r="J71" s="1">
        <v>8.3613999999999997</v>
      </c>
      <c r="K71" s="1">
        <v>8.7481000000000009</v>
      </c>
      <c r="L71" s="1">
        <v>8.8222000000000005</v>
      </c>
      <c r="M71" s="1">
        <v>8.6026000000000007</v>
      </c>
      <c r="N71" s="1">
        <v>9.0538000000000007</v>
      </c>
      <c r="O71" s="1">
        <v>9.1532999999999998</v>
      </c>
      <c r="P71" s="1">
        <v>8.4494000000000007</v>
      </c>
      <c r="Q71" s="1">
        <v>7.1711999999999998</v>
      </c>
      <c r="R71" s="1">
        <v>8.3244000000000007</v>
      </c>
      <c r="S71" s="1">
        <v>8.7411999999999992</v>
      </c>
      <c r="T71" s="1">
        <v>8.6120000000000001</v>
      </c>
      <c r="U71" s="1">
        <v>8.4894999999999996</v>
      </c>
      <c r="V71" s="1">
        <v>9.2379999999999995</v>
      </c>
      <c r="W71" s="1">
        <v>7.6631999999999998</v>
      </c>
      <c r="X71" s="1">
        <f t="shared" si="9"/>
        <v>8.5033699999999985</v>
      </c>
      <c r="Y71" s="1">
        <f t="shared" si="13"/>
        <v>0.60149575848353598</v>
      </c>
      <c r="Z71" s="1">
        <f t="shared" si="10"/>
        <v>7.0736162072629574</v>
      </c>
      <c r="AA71" s="1">
        <f t="shared" si="11"/>
        <v>7.1711999999999998</v>
      </c>
      <c r="AB71" s="1">
        <f t="shared" si="12"/>
        <v>9.4658999999999995</v>
      </c>
    </row>
    <row r="72" spans="1:28">
      <c r="A72" t="s">
        <v>42</v>
      </c>
      <c r="B72" t="s">
        <v>29</v>
      </c>
      <c r="C72" t="s">
        <v>30</v>
      </c>
      <c r="D72" s="1">
        <v>0.50639999999999996</v>
      </c>
      <c r="E72" s="1">
        <v>0.45150000000000001</v>
      </c>
      <c r="F72" s="1">
        <v>0.52529999999999999</v>
      </c>
      <c r="G72" s="1">
        <v>0.64880000000000004</v>
      </c>
      <c r="H72" s="1">
        <v>0.41720000000000002</v>
      </c>
      <c r="I72" s="1">
        <v>0.50260000000000005</v>
      </c>
      <c r="J72" s="1">
        <v>0.45779999999999998</v>
      </c>
      <c r="K72" s="1">
        <v>0.53839999999999999</v>
      </c>
      <c r="L72" s="1">
        <v>0.61770000000000003</v>
      </c>
      <c r="M72" s="1">
        <v>0.54969999999999997</v>
      </c>
      <c r="N72" s="1">
        <v>0.49769999999999998</v>
      </c>
      <c r="O72" s="1">
        <v>0.54049999999999998</v>
      </c>
      <c r="P72" s="1">
        <v>0.64429999999999998</v>
      </c>
      <c r="Q72" s="1">
        <v>0.4924</v>
      </c>
      <c r="R72" s="1">
        <v>0.49659999999999999</v>
      </c>
      <c r="S72" s="1">
        <v>0.58609999999999995</v>
      </c>
      <c r="T72" s="1">
        <v>0.51270000000000004</v>
      </c>
      <c r="U72" s="1">
        <v>0.56379999999999997</v>
      </c>
      <c r="V72" s="1">
        <v>0.62109999999999999</v>
      </c>
      <c r="W72" s="1">
        <v>0.63339999999999996</v>
      </c>
      <c r="X72" s="1">
        <f t="shared" si="9"/>
        <v>0.54020000000000001</v>
      </c>
      <c r="Y72" s="1">
        <f t="shared" si="13"/>
        <v>6.7253792692895373E-2</v>
      </c>
      <c r="Z72" s="1">
        <f t="shared" si="10"/>
        <v>12.449795019047643</v>
      </c>
      <c r="AA72" s="1">
        <f t="shared" si="11"/>
        <v>0.41720000000000002</v>
      </c>
      <c r="AB72" s="1">
        <f t="shared" si="12"/>
        <v>0.64880000000000004</v>
      </c>
    </row>
    <row r="73" spans="1:28">
      <c r="A73" t="s">
        <v>42</v>
      </c>
      <c r="B73" t="s">
        <v>29</v>
      </c>
      <c r="C73" t="s">
        <v>31</v>
      </c>
      <c r="D73" s="1">
        <v>0.877</v>
      </c>
      <c r="E73" s="1">
        <v>0.89359999999999995</v>
      </c>
      <c r="F73" s="1">
        <v>0.89670000000000005</v>
      </c>
      <c r="G73" s="1">
        <v>0.83430000000000004</v>
      </c>
      <c r="H73" s="1">
        <v>0.92259999999999998</v>
      </c>
      <c r="I73" s="1">
        <v>0.86970000000000003</v>
      </c>
      <c r="J73" s="1">
        <v>0.80459999999999998</v>
      </c>
      <c r="K73" s="1">
        <v>0.88070000000000004</v>
      </c>
      <c r="L73" s="1">
        <v>0.86609999999999998</v>
      </c>
      <c r="M73" s="1">
        <v>0.89</v>
      </c>
      <c r="N73" s="1">
        <v>0.78269999999999995</v>
      </c>
      <c r="O73" s="1">
        <v>0.91010000000000002</v>
      </c>
      <c r="P73" s="1">
        <v>0.8135</v>
      </c>
      <c r="Q73" s="1">
        <v>0.85119999999999996</v>
      </c>
      <c r="R73" s="1">
        <v>0.81469999999999998</v>
      </c>
      <c r="S73" s="1">
        <v>0.89639999999999997</v>
      </c>
      <c r="T73" s="1">
        <v>0.90939999999999999</v>
      </c>
      <c r="U73" s="1">
        <v>0.8649</v>
      </c>
      <c r="V73" s="1">
        <v>0.9284</v>
      </c>
      <c r="W73" s="1">
        <v>0.8891</v>
      </c>
      <c r="X73" s="1">
        <f t="shared" si="9"/>
        <v>0.86978500000000003</v>
      </c>
      <c r="Y73" s="1">
        <f t="shared" si="13"/>
        <v>4.1071122842928798E-2</v>
      </c>
      <c r="Z73" s="1">
        <f t="shared" si="10"/>
        <v>4.7219856450650219</v>
      </c>
      <c r="AA73" s="1">
        <f t="shared" si="11"/>
        <v>0.78269999999999995</v>
      </c>
      <c r="AB73" s="1">
        <f t="shared" si="12"/>
        <v>0.9284</v>
      </c>
    </row>
    <row r="74" spans="1:28">
      <c r="A74" t="s">
        <v>42</v>
      </c>
      <c r="B74" t="s">
        <v>29</v>
      </c>
      <c r="C74" t="s">
        <v>32</v>
      </c>
      <c r="D74" s="1">
        <v>1.3030999999999999</v>
      </c>
      <c r="E74" s="1">
        <v>1.2558</v>
      </c>
      <c r="F74" s="1">
        <v>1.2331000000000001</v>
      </c>
      <c r="G74" s="1">
        <v>1.2154</v>
      </c>
      <c r="H74" s="1">
        <v>1.2579</v>
      </c>
      <c r="I74" s="1">
        <v>1.2395</v>
      </c>
      <c r="J74" s="1">
        <v>1.2613000000000001</v>
      </c>
      <c r="K74" s="1">
        <v>1.2346999999999999</v>
      </c>
      <c r="L74" s="1">
        <v>1.2327999999999999</v>
      </c>
      <c r="M74" s="1">
        <v>1.2464999999999999</v>
      </c>
      <c r="N74" s="1">
        <v>1.2616000000000001</v>
      </c>
      <c r="O74" s="1">
        <v>1.2075</v>
      </c>
      <c r="P74" s="1">
        <v>1.2194</v>
      </c>
      <c r="Q74" s="1">
        <v>1.1929000000000001</v>
      </c>
      <c r="R74" s="1">
        <v>1.204</v>
      </c>
      <c r="S74" s="1">
        <v>1.2710999999999999</v>
      </c>
      <c r="T74" s="1">
        <v>1.2543</v>
      </c>
      <c r="U74" s="1">
        <v>1.2674000000000001</v>
      </c>
      <c r="V74" s="1">
        <v>1.2954000000000001</v>
      </c>
      <c r="W74" s="1">
        <v>1.3051999999999999</v>
      </c>
      <c r="X74" s="1">
        <f t="shared" si="9"/>
        <v>1.2479450000000001</v>
      </c>
      <c r="Y74" s="1">
        <f t="shared" si="13"/>
        <v>3.180725628895989E-2</v>
      </c>
      <c r="Z74" s="1">
        <f t="shared" si="10"/>
        <v>2.5487706821181932</v>
      </c>
      <c r="AA74" s="1">
        <f t="shared" si="11"/>
        <v>1.1929000000000001</v>
      </c>
      <c r="AB74" s="1">
        <f t="shared" si="12"/>
        <v>1.3051999999999999</v>
      </c>
    </row>
    <row r="75" spans="1:28">
      <c r="A75" t="s">
        <v>42</v>
      </c>
      <c r="B75" t="s">
        <v>29</v>
      </c>
      <c r="C75" t="s">
        <v>33</v>
      </c>
      <c r="D75" s="1">
        <v>1.7970999999999999</v>
      </c>
      <c r="E75" s="1">
        <v>1.3374999999999999</v>
      </c>
      <c r="F75" s="1">
        <v>1.5750999999999999</v>
      </c>
      <c r="G75" s="1">
        <v>1.7056</v>
      </c>
      <c r="H75" s="1">
        <v>1.7628999999999999</v>
      </c>
      <c r="I75" s="1">
        <v>1.6963999999999999</v>
      </c>
      <c r="J75" s="1">
        <v>1.6001000000000001</v>
      </c>
      <c r="K75" s="1">
        <v>1.6261000000000001</v>
      </c>
      <c r="L75" s="1">
        <v>1.6881999999999999</v>
      </c>
      <c r="M75" s="1">
        <v>1.7311000000000001</v>
      </c>
      <c r="N75" s="1">
        <v>1.4347000000000001</v>
      </c>
      <c r="O75" s="1">
        <v>1.6117999999999999</v>
      </c>
      <c r="P75" s="1">
        <v>1.6966000000000001</v>
      </c>
      <c r="Q75" s="1">
        <v>1.6604000000000001</v>
      </c>
      <c r="R75" s="1">
        <v>1.8919999999999999</v>
      </c>
      <c r="S75" s="1">
        <v>1.8774</v>
      </c>
      <c r="T75" s="1">
        <v>1.5928</v>
      </c>
      <c r="U75" s="1">
        <v>1.4145000000000001</v>
      </c>
      <c r="V75" s="1">
        <v>1.5576000000000001</v>
      </c>
      <c r="W75" s="1">
        <v>1.5899000000000001</v>
      </c>
      <c r="X75" s="1">
        <f t="shared" si="9"/>
        <v>1.64239</v>
      </c>
      <c r="Y75" s="1">
        <f t="shared" si="13"/>
        <v>0.14217937114415496</v>
      </c>
      <c r="Z75" s="1">
        <f t="shared" si="10"/>
        <v>8.6568580631978378</v>
      </c>
      <c r="AA75" s="1">
        <f t="shared" si="11"/>
        <v>1.3374999999999999</v>
      </c>
      <c r="AB75" s="1">
        <f t="shared" si="12"/>
        <v>1.8919999999999999</v>
      </c>
    </row>
    <row r="76" spans="1:28">
      <c r="A76" t="s">
        <v>42</v>
      </c>
      <c r="B76" t="s">
        <v>29</v>
      </c>
      <c r="C76" t="s">
        <v>34</v>
      </c>
      <c r="D76" s="1">
        <v>2.1303999999999998</v>
      </c>
      <c r="E76" s="1">
        <v>2.032</v>
      </c>
      <c r="F76" s="1">
        <v>2.0207000000000002</v>
      </c>
      <c r="G76" s="1">
        <v>2.0312999999999999</v>
      </c>
      <c r="H76" s="1">
        <v>1.9722</v>
      </c>
      <c r="I76" s="1">
        <v>2.0350000000000001</v>
      </c>
      <c r="J76" s="1">
        <v>1.9581</v>
      </c>
      <c r="K76" s="1">
        <v>2.2189999999999999</v>
      </c>
      <c r="L76" s="1">
        <v>2.0406</v>
      </c>
      <c r="M76" s="1">
        <v>1.9957</v>
      </c>
      <c r="N76" s="1">
        <v>1.9713000000000001</v>
      </c>
      <c r="O76" s="1">
        <v>2.0545</v>
      </c>
      <c r="P76" s="1">
        <v>2.1377000000000002</v>
      </c>
      <c r="Q76" s="1">
        <v>2.1779000000000002</v>
      </c>
      <c r="R76" s="1">
        <v>2.1831</v>
      </c>
      <c r="S76" s="1">
        <v>1.9416</v>
      </c>
      <c r="T76" s="1">
        <v>2.0354000000000001</v>
      </c>
      <c r="U76" s="1">
        <v>1.9401999999999999</v>
      </c>
      <c r="V76" s="1">
        <v>2.0371999999999999</v>
      </c>
      <c r="W76" s="1">
        <v>2.0562999999999998</v>
      </c>
      <c r="X76" s="1">
        <f t="shared" si="9"/>
        <v>2.0485099999999998</v>
      </c>
      <c r="Y76" s="1">
        <f t="shared" si="13"/>
        <v>8.1588111234032396E-2</v>
      </c>
      <c r="Z76" s="1">
        <f t="shared" si="10"/>
        <v>3.9828026826343246</v>
      </c>
      <c r="AA76" s="1">
        <f t="shared" si="11"/>
        <v>1.9401999999999999</v>
      </c>
      <c r="AB76" s="1">
        <f t="shared" si="12"/>
        <v>2.2189999999999999</v>
      </c>
    </row>
    <row r="77" spans="1:28">
      <c r="A77" t="s">
        <v>42</v>
      </c>
      <c r="B77" t="s">
        <v>35</v>
      </c>
      <c r="C77" t="s">
        <v>30</v>
      </c>
      <c r="D77" s="1">
        <v>0.4466</v>
      </c>
      <c r="E77" s="1">
        <v>0.41549999999999998</v>
      </c>
      <c r="F77" s="1">
        <v>0.41310000000000002</v>
      </c>
      <c r="G77" s="1">
        <v>0.44290000000000002</v>
      </c>
      <c r="H77" s="1">
        <v>0.43419999999999997</v>
      </c>
      <c r="I77" s="1">
        <v>0.45929999999999999</v>
      </c>
      <c r="J77" s="1">
        <v>0.40670000000000001</v>
      </c>
      <c r="K77" s="1">
        <v>0.45450000000000002</v>
      </c>
      <c r="L77" s="1">
        <v>0.44540000000000002</v>
      </c>
      <c r="M77" s="1">
        <v>0.44569999999999999</v>
      </c>
      <c r="N77" s="1">
        <v>0.44059999999999999</v>
      </c>
      <c r="O77" s="1">
        <v>0.42530000000000001</v>
      </c>
      <c r="P77" s="1">
        <v>0.43469999999999998</v>
      </c>
      <c r="Q77" s="1">
        <v>0.4461</v>
      </c>
      <c r="R77" s="1">
        <v>0.46650000000000003</v>
      </c>
      <c r="S77" s="1">
        <v>0.46689999999999998</v>
      </c>
      <c r="T77" s="1">
        <v>0.43469999999999998</v>
      </c>
      <c r="U77" s="1">
        <v>0.4194</v>
      </c>
      <c r="V77" s="1">
        <v>0.4461</v>
      </c>
      <c r="W77" s="1">
        <v>0.44869999999999999</v>
      </c>
      <c r="X77" s="1">
        <f t="shared" si="9"/>
        <v>0.43964499999999995</v>
      </c>
      <c r="Y77" s="1">
        <f t="shared" si="13"/>
        <v>1.6910273271158668E-2</v>
      </c>
      <c r="Z77" s="1">
        <f t="shared" si="10"/>
        <v>3.8463472281405844</v>
      </c>
      <c r="AA77" s="1">
        <f t="shared" si="11"/>
        <v>0.40670000000000001</v>
      </c>
      <c r="AB77" s="1">
        <f t="shared" si="12"/>
        <v>0.46689999999999998</v>
      </c>
    </row>
    <row r="78" spans="1:28">
      <c r="A78" t="s">
        <v>42</v>
      </c>
      <c r="B78" t="s">
        <v>35</v>
      </c>
      <c r="C78" t="s">
        <v>31</v>
      </c>
      <c r="D78" s="1">
        <v>0.62070000000000003</v>
      </c>
      <c r="E78" s="1">
        <v>0.70220000000000005</v>
      </c>
      <c r="F78" s="1">
        <v>0.6069</v>
      </c>
      <c r="G78" s="1">
        <v>0.5958</v>
      </c>
      <c r="H78" s="1">
        <v>0.70420000000000005</v>
      </c>
      <c r="I78" s="1">
        <v>0.67310000000000003</v>
      </c>
      <c r="J78" s="1">
        <v>0.72689999999999999</v>
      </c>
      <c r="K78" s="1">
        <v>0.81579999999999997</v>
      </c>
      <c r="L78" s="1">
        <v>0.64739999999999998</v>
      </c>
      <c r="M78" s="1">
        <v>0.64410000000000001</v>
      </c>
      <c r="N78" s="1">
        <v>0.67559999999999998</v>
      </c>
      <c r="O78" s="1">
        <v>0.77539999999999998</v>
      </c>
      <c r="P78" s="1">
        <v>0.7016</v>
      </c>
      <c r="Q78" s="1">
        <v>0.64339999999999997</v>
      </c>
      <c r="R78" s="1">
        <v>0.71819999999999995</v>
      </c>
      <c r="S78" s="1">
        <v>0.8216</v>
      </c>
      <c r="T78" s="1">
        <v>0.6411</v>
      </c>
      <c r="U78" s="1">
        <v>0.76839999999999997</v>
      </c>
      <c r="V78" s="1">
        <v>0.6512</v>
      </c>
      <c r="W78" s="1">
        <v>0.67020000000000002</v>
      </c>
      <c r="X78" s="1">
        <f t="shared" si="9"/>
        <v>0.69018999999999997</v>
      </c>
      <c r="Y78" s="1">
        <f t="shared" si="13"/>
        <v>6.516441473203316E-2</v>
      </c>
      <c r="Z78" s="1">
        <f t="shared" si="10"/>
        <v>9.4415182387506569</v>
      </c>
      <c r="AA78" s="1">
        <f t="shared" si="11"/>
        <v>0.5958</v>
      </c>
      <c r="AB78" s="1">
        <f t="shared" si="12"/>
        <v>0.8216</v>
      </c>
    </row>
    <row r="79" spans="1:28">
      <c r="A79" t="s">
        <v>42</v>
      </c>
      <c r="B79" t="s">
        <v>35</v>
      </c>
      <c r="C79" t="s">
        <v>32</v>
      </c>
      <c r="D79" s="1">
        <v>0.94269999999999998</v>
      </c>
      <c r="E79" s="1">
        <v>1.0357000000000001</v>
      </c>
      <c r="F79" s="1">
        <v>0.9607</v>
      </c>
      <c r="G79" s="1">
        <v>0.95069999999999999</v>
      </c>
      <c r="H79" s="1">
        <v>0.92979999999999996</v>
      </c>
      <c r="I79" s="1">
        <v>0.96040000000000003</v>
      </c>
      <c r="J79" s="1">
        <v>0.89629999999999999</v>
      </c>
      <c r="K79" s="1">
        <v>0.94289999999999996</v>
      </c>
      <c r="L79" s="1">
        <v>0.94279999999999997</v>
      </c>
      <c r="M79" s="1">
        <v>0.95389999999999997</v>
      </c>
      <c r="N79" s="1">
        <v>0.94430000000000003</v>
      </c>
      <c r="O79" s="1">
        <v>1.0008999999999999</v>
      </c>
      <c r="P79" s="1">
        <v>1.0732999999999999</v>
      </c>
      <c r="Q79" s="1">
        <v>0.93200000000000005</v>
      </c>
      <c r="R79" s="1">
        <v>0.94679999999999997</v>
      </c>
      <c r="S79" s="1">
        <v>0.87080000000000002</v>
      </c>
      <c r="T79" s="1">
        <v>0.98229999999999995</v>
      </c>
      <c r="U79" s="1">
        <v>1.0404</v>
      </c>
      <c r="V79" s="1">
        <v>0.9909</v>
      </c>
      <c r="W79" s="1">
        <v>0.90749999999999997</v>
      </c>
      <c r="X79" s="1">
        <f t="shared" si="9"/>
        <v>0.96025499999999986</v>
      </c>
      <c r="Y79" s="1">
        <f t="shared" si="13"/>
        <v>4.9233273675859751E-2</v>
      </c>
      <c r="Z79" s="1">
        <f t="shared" si="10"/>
        <v>5.1271041208699515</v>
      </c>
      <c r="AA79" s="1">
        <f t="shared" si="11"/>
        <v>0.87080000000000002</v>
      </c>
      <c r="AB79" s="1">
        <f t="shared" si="12"/>
        <v>1.0732999999999999</v>
      </c>
    </row>
    <row r="80" spans="1:28">
      <c r="A80" t="s">
        <v>42</v>
      </c>
      <c r="B80" t="s">
        <v>35</v>
      </c>
      <c r="C80" t="s">
        <v>33</v>
      </c>
      <c r="D80" s="1">
        <v>1.3687</v>
      </c>
      <c r="E80" s="1">
        <v>1.1954</v>
      </c>
      <c r="F80" s="1">
        <v>1.1869000000000001</v>
      </c>
      <c r="G80" s="1">
        <v>1.2101</v>
      </c>
      <c r="H80" s="1">
        <v>1.3123</v>
      </c>
      <c r="I80" s="1">
        <v>1.1870000000000001</v>
      </c>
      <c r="J80" s="1">
        <v>1.1503000000000001</v>
      </c>
      <c r="K80" s="1">
        <v>1.1850000000000001</v>
      </c>
      <c r="L80" s="1">
        <v>1.3859999999999999</v>
      </c>
      <c r="M80" s="1">
        <v>1.2343999999999999</v>
      </c>
      <c r="N80" s="1">
        <v>1.3615999999999999</v>
      </c>
      <c r="O80" s="1">
        <v>1.2602</v>
      </c>
      <c r="P80" s="1">
        <v>1.1755</v>
      </c>
      <c r="Q80" s="1">
        <v>1.3834</v>
      </c>
      <c r="R80" s="1">
        <v>1.1586000000000001</v>
      </c>
      <c r="S80" s="1">
        <v>1.4990000000000001</v>
      </c>
      <c r="T80" s="1">
        <v>1.2685999999999999</v>
      </c>
      <c r="U80" s="1">
        <v>1.4096</v>
      </c>
      <c r="V80" s="1">
        <v>1.2373000000000001</v>
      </c>
      <c r="W80" s="1">
        <v>1.2594000000000001</v>
      </c>
      <c r="X80" s="1">
        <f t="shared" si="9"/>
        <v>1.2714650000000001</v>
      </c>
      <c r="Y80" s="1">
        <f t="shared" si="13"/>
        <v>9.9077700900805477E-2</v>
      </c>
      <c r="Z80" s="1">
        <f t="shared" si="10"/>
        <v>7.7924048952039939</v>
      </c>
      <c r="AA80" s="1">
        <f t="shared" si="11"/>
        <v>1.1503000000000001</v>
      </c>
      <c r="AB80" s="1">
        <f t="shared" si="12"/>
        <v>1.4990000000000001</v>
      </c>
    </row>
    <row r="81" spans="1:28">
      <c r="A81" t="s">
        <v>42</v>
      </c>
      <c r="B81" t="s">
        <v>35</v>
      </c>
      <c r="C81" t="s">
        <v>34</v>
      </c>
      <c r="D81" s="1">
        <v>1.4604999999999999</v>
      </c>
      <c r="E81" s="1">
        <v>1.3692</v>
      </c>
      <c r="F81" s="1">
        <v>1.6636</v>
      </c>
      <c r="G81" s="1">
        <v>1.5515000000000001</v>
      </c>
      <c r="H81" s="1">
        <v>1.2774000000000001</v>
      </c>
      <c r="I81" s="1">
        <v>1.5074000000000001</v>
      </c>
      <c r="J81" s="1">
        <v>1.6560999999999999</v>
      </c>
      <c r="K81" s="1">
        <v>1.4479</v>
      </c>
      <c r="L81" s="1">
        <v>1.5771999999999999</v>
      </c>
      <c r="M81" s="1">
        <v>1.5387999999999999</v>
      </c>
      <c r="N81" s="1">
        <v>1.5194000000000001</v>
      </c>
      <c r="O81" s="1">
        <v>1.4942</v>
      </c>
      <c r="P81" s="1">
        <v>1.643</v>
      </c>
      <c r="Q81" s="1">
        <v>1.5128999999999999</v>
      </c>
      <c r="R81" s="1">
        <v>1.6063000000000001</v>
      </c>
      <c r="S81" s="1">
        <v>1.583</v>
      </c>
      <c r="T81" s="1">
        <v>1.6264000000000001</v>
      </c>
      <c r="U81" s="1">
        <v>1.6700999999999999</v>
      </c>
      <c r="V81" s="1">
        <v>1.6252</v>
      </c>
      <c r="W81" s="1">
        <v>1.4536</v>
      </c>
      <c r="X81" s="1">
        <f t="shared" si="9"/>
        <v>1.539185</v>
      </c>
      <c r="Y81" s="1">
        <f t="shared" si="13"/>
        <v>0.10348717324536305</v>
      </c>
      <c r="Z81" s="1">
        <f t="shared" si="10"/>
        <v>6.7235045329419822</v>
      </c>
      <c r="AA81" s="1">
        <f t="shared" si="11"/>
        <v>1.2774000000000001</v>
      </c>
      <c r="AB81" s="1">
        <f t="shared" si="12"/>
        <v>1.6700999999999999</v>
      </c>
    </row>
    <row r="82" spans="1:28">
      <c r="A82" t="s">
        <v>42</v>
      </c>
      <c r="B82" t="s">
        <v>36</v>
      </c>
      <c r="C82" t="s">
        <v>30</v>
      </c>
      <c r="D82" s="1">
        <v>0.40250000000000002</v>
      </c>
      <c r="E82" s="1">
        <v>0.35589999999999999</v>
      </c>
      <c r="F82" s="1">
        <v>0.36359999999999998</v>
      </c>
      <c r="G82" s="1">
        <v>0.37619999999999998</v>
      </c>
      <c r="H82" s="1">
        <v>0.37380000000000002</v>
      </c>
      <c r="I82" s="1">
        <v>0.36680000000000001</v>
      </c>
      <c r="J82" s="1">
        <v>0.38400000000000001</v>
      </c>
      <c r="K82" s="1">
        <v>0.3881</v>
      </c>
      <c r="L82" s="1">
        <v>0.37290000000000001</v>
      </c>
      <c r="M82" s="1">
        <v>0.36220000000000002</v>
      </c>
      <c r="N82" s="1">
        <v>0.33629999999999999</v>
      </c>
      <c r="O82" s="1">
        <v>0.34200000000000003</v>
      </c>
      <c r="P82" s="1">
        <v>0.36630000000000001</v>
      </c>
      <c r="Q82" s="1">
        <v>0.36770000000000003</v>
      </c>
      <c r="R82" s="1">
        <v>0.34549999999999997</v>
      </c>
      <c r="S82" s="1">
        <v>0.37509999999999999</v>
      </c>
      <c r="T82" s="1">
        <v>0.3831</v>
      </c>
      <c r="U82" s="1">
        <v>0.37519999999999998</v>
      </c>
      <c r="V82" s="1">
        <v>0.3619</v>
      </c>
      <c r="W82" s="1">
        <v>0.39629999999999999</v>
      </c>
      <c r="X82" s="1">
        <f t="shared" si="9"/>
        <v>0.36977000000000004</v>
      </c>
      <c r="Y82" s="1">
        <f t="shared" si="13"/>
        <v>1.6970286726480124E-2</v>
      </c>
      <c r="Z82" s="1">
        <f t="shared" si="10"/>
        <v>4.589416860881121</v>
      </c>
      <c r="AA82" s="1">
        <f t="shared" si="11"/>
        <v>0.33629999999999999</v>
      </c>
      <c r="AB82" s="1">
        <f t="shared" si="12"/>
        <v>0.40250000000000002</v>
      </c>
    </row>
    <row r="83" spans="1:28">
      <c r="A83" t="s">
        <v>42</v>
      </c>
      <c r="B83" t="s">
        <v>36</v>
      </c>
      <c r="C83" t="s">
        <v>31</v>
      </c>
      <c r="D83" s="1">
        <v>0.56259999999999999</v>
      </c>
      <c r="E83" s="1">
        <v>0.51119999999999999</v>
      </c>
      <c r="F83" s="1">
        <v>0.56579999999999997</v>
      </c>
      <c r="G83" s="1">
        <v>0.60050000000000003</v>
      </c>
      <c r="H83" s="1">
        <v>0.62760000000000005</v>
      </c>
      <c r="I83" s="1">
        <v>0.58879999999999999</v>
      </c>
      <c r="J83" s="1">
        <v>0.59509999999999996</v>
      </c>
      <c r="K83" s="1">
        <v>0.60599999999999998</v>
      </c>
      <c r="L83" s="1">
        <v>0.64490000000000003</v>
      </c>
      <c r="M83" s="1">
        <v>0.6613</v>
      </c>
      <c r="N83" s="1">
        <v>0.60250000000000004</v>
      </c>
      <c r="O83" s="1">
        <v>0.53069999999999995</v>
      </c>
      <c r="P83" s="1">
        <v>0.54810000000000003</v>
      </c>
      <c r="Q83" s="1">
        <v>0.56069999999999998</v>
      </c>
      <c r="R83" s="1">
        <v>0.50639999999999996</v>
      </c>
      <c r="S83" s="1">
        <v>0.5907</v>
      </c>
      <c r="T83" s="1">
        <v>0.5968</v>
      </c>
      <c r="U83" s="1">
        <v>0.51619999999999999</v>
      </c>
      <c r="V83" s="1">
        <v>0.55110000000000003</v>
      </c>
      <c r="W83" s="1">
        <v>0.62639999999999996</v>
      </c>
      <c r="X83" s="1">
        <f t="shared" si="9"/>
        <v>0.57966999999999991</v>
      </c>
      <c r="Y83" s="1">
        <f t="shared" si="13"/>
        <v>4.4083629853411938E-2</v>
      </c>
      <c r="Z83" s="1">
        <f t="shared" si="10"/>
        <v>7.604952792694454</v>
      </c>
      <c r="AA83" s="1">
        <f t="shared" si="11"/>
        <v>0.50639999999999996</v>
      </c>
      <c r="AB83" s="1">
        <f t="shared" si="12"/>
        <v>0.6613</v>
      </c>
    </row>
    <row r="84" spans="1:28">
      <c r="A84" t="s">
        <v>42</v>
      </c>
      <c r="B84" t="s">
        <v>36</v>
      </c>
      <c r="C84" t="s">
        <v>32</v>
      </c>
      <c r="D84" s="1">
        <v>0.71760000000000002</v>
      </c>
      <c r="E84" s="1">
        <v>0.63619999999999999</v>
      </c>
      <c r="F84" s="1">
        <v>0.77780000000000005</v>
      </c>
      <c r="G84" s="1">
        <v>0.74019999999999997</v>
      </c>
      <c r="H84" s="1">
        <v>0.98870000000000002</v>
      </c>
      <c r="I84" s="1">
        <v>0.83120000000000005</v>
      </c>
      <c r="J84" s="1">
        <v>0.83330000000000004</v>
      </c>
      <c r="K84" s="1">
        <v>1.0620000000000001</v>
      </c>
      <c r="L84" s="1">
        <v>0.81759999999999999</v>
      </c>
      <c r="M84" s="1">
        <v>0.80479999999999996</v>
      </c>
      <c r="N84" s="1">
        <v>0.94299999999999995</v>
      </c>
      <c r="O84" s="1">
        <v>0.92669999999999997</v>
      </c>
      <c r="P84" s="1">
        <v>0.7399</v>
      </c>
      <c r="Q84" s="1">
        <v>0.92400000000000004</v>
      </c>
      <c r="R84" s="1">
        <v>0.85060000000000002</v>
      </c>
      <c r="S84" s="1">
        <v>0.80049999999999999</v>
      </c>
      <c r="T84" s="1">
        <v>0.83389999999999997</v>
      </c>
      <c r="U84" s="1">
        <v>0.79790000000000005</v>
      </c>
      <c r="V84" s="1">
        <v>0.80830000000000002</v>
      </c>
      <c r="W84" s="1">
        <v>0.78539999999999999</v>
      </c>
      <c r="X84" s="1">
        <f t="shared" si="9"/>
        <v>0.83097999999999994</v>
      </c>
      <c r="Y84" s="1">
        <f t="shared" si="13"/>
        <v>9.8581217384716965E-2</v>
      </c>
      <c r="Z84" s="1">
        <f t="shared" si="10"/>
        <v>11.86324789823064</v>
      </c>
      <c r="AA84" s="1">
        <f t="shared" si="11"/>
        <v>0.63619999999999999</v>
      </c>
      <c r="AB84" s="1">
        <f t="shared" si="12"/>
        <v>1.0620000000000001</v>
      </c>
    </row>
    <row r="85" spans="1:28">
      <c r="A85" t="s">
        <v>42</v>
      </c>
      <c r="B85" t="s">
        <v>36</v>
      </c>
      <c r="C85" t="s">
        <v>33</v>
      </c>
      <c r="D85" s="1">
        <v>1.1391</v>
      </c>
      <c r="E85" s="1">
        <v>1.1069</v>
      </c>
      <c r="F85" s="1">
        <v>1.1616</v>
      </c>
      <c r="G85" s="1">
        <v>1.1294999999999999</v>
      </c>
      <c r="H85" s="1">
        <v>1.0758000000000001</v>
      </c>
      <c r="I85" s="1">
        <v>1.1639999999999999</v>
      </c>
      <c r="J85" s="1">
        <v>1.1127</v>
      </c>
      <c r="K85" s="1">
        <v>1.0901000000000001</v>
      </c>
      <c r="L85" s="1">
        <v>1.1587000000000001</v>
      </c>
      <c r="M85" s="1">
        <v>1.0923</v>
      </c>
      <c r="N85" s="1">
        <v>1.0845</v>
      </c>
      <c r="O85" s="1">
        <v>1.1236999999999999</v>
      </c>
      <c r="P85" s="1">
        <v>1.0243</v>
      </c>
      <c r="Q85" s="1">
        <v>1.1564000000000001</v>
      </c>
      <c r="R85" s="1">
        <v>1.1256999999999999</v>
      </c>
      <c r="S85" s="1">
        <v>1.1149</v>
      </c>
      <c r="T85" s="1">
        <v>1.0999000000000001</v>
      </c>
      <c r="U85" s="1">
        <v>1.0358000000000001</v>
      </c>
      <c r="V85" s="1">
        <v>1.1988000000000001</v>
      </c>
      <c r="W85" s="1">
        <v>1.1686000000000001</v>
      </c>
      <c r="X85" s="1">
        <f t="shared" si="9"/>
        <v>1.1181649999999999</v>
      </c>
      <c r="Y85" s="1">
        <f t="shared" si="13"/>
        <v>4.4291347319407891E-2</v>
      </c>
      <c r="Z85" s="1">
        <f t="shared" si="10"/>
        <v>3.9610743780576123</v>
      </c>
      <c r="AA85" s="1">
        <f t="shared" si="11"/>
        <v>1.0243</v>
      </c>
      <c r="AB85" s="1">
        <f t="shared" si="12"/>
        <v>1.1988000000000001</v>
      </c>
    </row>
    <row r="86" spans="1:28">
      <c r="A86" t="s">
        <v>42</v>
      </c>
      <c r="B86" t="s">
        <v>36</v>
      </c>
      <c r="C86" t="s">
        <v>34</v>
      </c>
      <c r="D86" s="1">
        <v>1.3713</v>
      </c>
      <c r="E86" s="1">
        <v>1.3593999999999999</v>
      </c>
      <c r="F86" s="1">
        <v>1.3179000000000001</v>
      </c>
      <c r="G86" s="1">
        <v>1.4026000000000001</v>
      </c>
      <c r="H86" s="1">
        <v>1.3118000000000001</v>
      </c>
      <c r="I86" s="1">
        <v>1.3857999999999999</v>
      </c>
      <c r="J86" s="1">
        <v>1.4066000000000001</v>
      </c>
      <c r="K86" s="1">
        <v>1.2909999999999999</v>
      </c>
      <c r="L86" s="1">
        <v>1.3421000000000001</v>
      </c>
      <c r="M86" s="1">
        <v>1.3726</v>
      </c>
      <c r="N86" s="1">
        <v>1.4248000000000001</v>
      </c>
      <c r="O86" s="1">
        <v>1.282</v>
      </c>
      <c r="P86" s="1">
        <v>1.3250999999999999</v>
      </c>
      <c r="Q86" s="1">
        <v>1.2863</v>
      </c>
      <c r="R86" s="1">
        <v>1.3546</v>
      </c>
      <c r="S86" s="1">
        <v>1.3467</v>
      </c>
      <c r="T86" s="1">
        <v>1.3318000000000001</v>
      </c>
      <c r="U86" s="1">
        <v>1.3532999999999999</v>
      </c>
      <c r="V86" s="1">
        <v>1.4198999999999999</v>
      </c>
      <c r="W86" s="1">
        <v>1.3172999999999999</v>
      </c>
      <c r="X86" s="1">
        <f t="shared" si="9"/>
        <v>1.3501449999999999</v>
      </c>
      <c r="Y86" s="1">
        <f t="shared" si="13"/>
        <v>4.326395698135125E-2</v>
      </c>
      <c r="Z86" s="1">
        <f t="shared" si="10"/>
        <v>3.2043933785890593</v>
      </c>
      <c r="AA86" s="1">
        <f t="shared" si="11"/>
        <v>1.282</v>
      </c>
      <c r="AB86" s="1">
        <f t="shared" si="12"/>
        <v>1.4248000000000001</v>
      </c>
    </row>
    <row r="87" spans="1:28">
      <c r="A87" t="s">
        <v>42</v>
      </c>
      <c r="B87" t="s">
        <v>37</v>
      </c>
      <c r="C87" t="s">
        <v>30</v>
      </c>
      <c r="D87" s="1">
        <v>0.26939999999999997</v>
      </c>
      <c r="E87" s="1">
        <v>0.38700000000000001</v>
      </c>
      <c r="F87" s="1">
        <v>0.35370000000000001</v>
      </c>
      <c r="G87" s="1">
        <v>0.36509999999999998</v>
      </c>
      <c r="H87" s="1">
        <v>0.315</v>
      </c>
      <c r="I87" s="1">
        <v>0.3251</v>
      </c>
      <c r="J87" s="1">
        <v>0.34910000000000002</v>
      </c>
      <c r="K87" s="1">
        <v>0.3407</v>
      </c>
      <c r="L87" s="1">
        <v>0.35639999999999999</v>
      </c>
      <c r="M87" s="1">
        <v>0.3458</v>
      </c>
      <c r="N87" s="1">
        <v>0.34770000000000001</v>
      </c>
      <c r="O87" s="1">
        <v>0.25740000000000002</v>
      </c>
      <c r="P87" s="1">
        <v>0.35470000000000002</v>
      </c>
      <c r="Q87" s="1">
        <v>0.39689999999999998</v>
      </c>
      <c r="R87" s="1">
        <v>0.31990000000000002</v>
      </c>
      <c r="S87" s="1">
        <v>0.3589</v>
      </c>
      <c r="T87" s="1">
        <v>0.29959999999999998</v>
      </c>
      <c r="U87" s="1">
        <v>0.4199</v>
      </c>
      <c r="V87" s="1">
        <v>0.34699999999999998</v>
      </c>
      <c r="W87" s="1">
        <v>0.2888</v>
      </c>
      <c r="X87" s="1">
        <f t="shared" si="9"/>
        <v>0.33990500000000001</v>
      </c>
      <c r="Y87" s="1">
        <f t="shared" si="13"/>
        <v>4.0410635324978655E-2</v>
      </c>
      <c r="Z87" s="1">
        <f t="shared" si="10"/>
        <v>11.888802849319267</v>
      </c>
      <c r="AA87" s="1">
        <f t="shared" si="11"/>
        <v>0.25740000000000002</v>
      </c>
      <c r="AB87" s="1">
        <f t="shared" si="12"/>
        <v>0.4199</v>
      </c>
    </row>
    <row r="88" spans="1:28">
      <c r="A88" t="s">
        <v>42</v>
      </c>
      <c r="B88" t="s">
        <v>37</v>
      </c>
      <c r="C88" t="s">
        <v>31</v>
      </c>
      <c r="D88" s="1">
        <v>0.54290000000000005</v>
      </c>
      <c r="E88" s="1">
        <v>0.53890000000000005</v>
      </c>
      <c r="F88" s="1">
        <v>0.53290000000000004</v>
      </c>
      <c r="G88" s="1">
        <v>0.60580000000000001</v>
      </c>
      <c r="H88" s="1">
        <v>0.54159999999999997</v>
      </c>
      <c r="I88" s="1">
        <v>0.51959999999999995</v>
      </c>
      <c r="J88" s="1">
        <v>0.53259999999999996</v>
      </c>
      <c r="K88" s="1">
        <v>0.55000000000000004</v>
      </c>
      <c r="L88" s="1">
        <v>0.57130000000000003</v>
      </c>
      <c r="M88" s="1">
        <v>0.53169999999999995</v>
      </c>
      <c r="N88" s="1">
        <v>0.51839999999999997</v>
      </c>
      <c r="O88" s="1">
        <v>0.56069999999999998</v>
      </c>
      <c r="P88" s="1">
        <v>0.5444</v>
      </c>
      <c r="Q88" s="1">
        <v>0.51419999999999999</v>
      </c>
      <c r="R88" s="1">
        <v>0.52790000000000004</v>
      </c>
      <c r="S88" s="1">
        <v>0.59379999999999999</v>
      </c>
      <c r="T88" s="1">
        <v>0.5554</v>
      </c>
      <c r="U88" s="1">
        <v>0.497</v>
      </c>
      <c r="V88" s="1">
        <v>0.54049999999999998</v>
      </c>
      <c r="W88" s="1">
        <v>0.48559999999999998</v>
      </c>
      <c r="X88" s="1">
        <f t="shared" si="9"/>
        <v>0.54025999999999996</v>
      </c>
      <c r="Y88" s="1">
        <f t="shared" si="13"/>
        <v>2.8724689545296826E-2</v>
      </c>
      <c r="Z88" s="1">
        <f t="shared" si="10"/>
        <v>5.3168269990924424</v>
      </c>
      <c r="AA88" s="1">
        <f t="shared" si="11"/>
        <v>0.48559999999999998</v>
      </c>
      <c r="AB88" s="1">
        <f t="shared" si="12"/>
        <v>0.60580000000000001</v>
      </c>
    </row>
    <row r="89" spans="1:28">
      <c r="A89" t="s">
        <v>42</v>
      </c>
      <c r="B89" t="s">
        <v>37</v>
      </c>
      <c r="C89" t="s">
        <v>32</v>
      </c>
      <c r="D89" s="1">
        <v>0.74529999999999996</v>
      </c>
      <c r="E89" s="1">
        <v>0.75009999999999999</v>
      </c>
      <c r="F89" s="1">
        <v>0.75460000000000005</v>
      </c>
      <c r="G89" s="1">
        <v>0.77549999999999997</v>
      </c>
      <c r="H89" s="1">
        <v>0.72</v>
      </c>
      <c r="I89" s="1">
        <v>0.76459999999999995</v>
      </c>
      <c r="J89" s="1">
        <v>0.82110000000000005</v>
      </c>
      <c r="K89" s="1">
        <v>0.72089999999999999</v>
      </c>
      <c r="L89" s="1">
        <v>0.75180000000000002</v>
      </c>
      <c r="M89" s="1">
        <v>0.78129999999999999</v>
      </c>
      <c r="N89" s="1">
        <v>0.74070000000000003</v>
      </c>
      <c r="O89" s="1">
        <v>0.78310000000000002</v>
      </c>
      <c r="P89" s="1">
        <v>0.76359999999999995</v>
      </c>
      <c r="Q89" s="1">
        <v>0.78300000000000003</v>
      </c>
      <c r="R89" s="1">
        <v>0.70209999999999995</v>
      </c>
      <c r="S89" s="1">
        <v>0.74009999999999998</v>
      </c>
      <c r="T89" s="1">
        <v>0.77080000000000004</v>
      </c>
      <c r="U89" s="1">
        <v>0.7843</v>
      </c>
      <c r="V89" s="1">
        <v>0.78180000000000005</v>
      </c>
      <c r="W89" s="1">
        <v>0.75429999999999997</v>
      </c>
      <c r="X89" s="1">
        <f t="shared" si="9"/>
        <v>0.75944999999999996</v>
      </c>
      <c r="Y89" s="1">
        <f t="shared" si="13"/>
        <v>2.7523109906901315E-2</v>
      </c>
      <c r="Z89" s="1">
        <f t="shared" si="10"/>
        <v>3.6240845226020566</v>
      </c>
      <c r="AA89" s="1">
        <f t="shared" si="11"/>
        <v>0.70209999999999995</v>
      </c>
      <c r="AB89" s="1">
        <f t="shared" si="12"/>
        <v>0.82110000000000005</v>
      </c>
    </row>
    <row r="90" spans="1:28">
      <c r="A90" t="s">
        <v>42</v>
      </c>
      <c r="B90" t="s">
        <v>37</v>
      </c>
      <c r="C90" t="s">
        <v>33</v>
      </c>
      <c r="D90" s="1">
        <v>0.99729999999999996</v>
      </c>
      <c r="E90" s="1">
        <v>1.0761000000000001</v>
      </c>
      <c r="F90" s="1">
        <v>0.98419999999999996</v>
      </c>
      <c r="G90" s="1">
        <v>1.0181</v>
      </c>
      <c r="H90" s="1">
        <v>1.0096000000000001</v>
      </c>
      <c r="I90" s="1">
        <v>1.0912999999999999</v>
      </c>
      <c r="J90" s="1">
        <v>1.0847</v>
      </c>
      <c r="K90" s="1">
        <v>1.1180000000000001</v>
      </c>
      <c r="L90" s="1">
        <v>0.9859</v>
      </c>
      <c r="M90" s="1">
        <v>1.0085</v>
      </c>
      <c r="N90" s="1">
        <v>0.99260000000000004</v>
      </c>
      <c r="O90" s="1">
        <v>1.0377000000000001</v>
      </c>
      <c r="P90" s="1">
        <v>1.0383</v>
      </c>
      <c r="Q90" s="1">
        <v>1.0379</v>
      </c>
      <c r="R90" s="1">
        <v>0.94769999999999999</v>
      </c>
      <c r="S90" s="1">
        <v>1.0583</v>
      </c>
      <c r="T90" s="1">
        <v>1.0561</v>
      </c>
      <c r="U90" s="1">
        <v>0.99350000000000005</v>
      </c>
      <c r="V90" s="1">
        <v>1.0175000000000001</v>
      </c>
      <c r="W90" s="1">
        <v>1.0222</v>
      </c>
      <c r="X90" s="1">
        <f t="shared" si="9"/>
        <v>1.028775</v>
      </c>
      <c r="Y90" s="1">
        <f t="shared" si="13"/>
        <v>4.2373537857090908E-2</v>
      </c>
      <c r="Z90" s="1">
        <f t="shared" si="10"/>
        <v>4.1188343279231034</v>
      </c>
      <c r="AA90" s="1">
        <f t="shared" si="11"/>
        <v>0.94769999999999999</v>
      </c>
      <c r="AB90" s="1">
        <f t="shared" si="12"/>
        <v>1.1180000000000001</v>
      </c>
    </row>
    <row r="91" spans="1:28">
      <c r="A91" t="s">
        <v>42</v>
      </c>
      <c r="B91" t="s">
        <v>37</v>
      </c>
      <c r="C91" t="s">
        <v>34</v>
      </c>
      <c r="D91" s="1">
        <v>1.2030000000000001</v>
      </c>
      <c r="E91" s="1">
        <v>1.2384999999999999</v>
      </c>
      <c r="F91" s="1">
        <v>1.2399</v>
      </c>
      <c r="G91" s="1">
        <v>1.1854</v>
      </c>
      <c r="H91" s="1">
        <v>1.2102999999999999</v>
      </c>
      <c r="I91" s="1">
        <v>1.2069000000000001</v>
      </c>
      <c r="J91" s="1">
        <v>1.2042999999999999</v>
      </c>
      <c r="K91" s="1">
        <v>1.1911</v>
      </c>
      <c r="L91" s="1">
        <v>1.2425999999999999</v>
      </c>
      <c r="M91" s="1">
        <v>1.1971000000000001</v>
      </c>
      <c r="N91" s="1">
        <v>1.1847000000000001</v>
      </c>
      <c r="O91" s="1">
        <v>1.2596000000000001</v>
      </c>
      <c r="P91" s="1">
        <v>1.2273000000000001</v>
      </c>
      <c r="Q91" s="1">
        <v>1.268</v>
      </c>
      <c r="R91" s="1">
        <v>1.2517</v>
      </c>
      <c r="S91" s="1">
        <v>1.2166999999999999</v>
      </c>
      <c r="T91" s="1">
        <v>1.2034</v>
      </c>
      <c r="U91" s="1">
        <v>1.2131000000000001</v>
      </c>
      <c r="V91" s="1">
        <v>1.2376</v>
      </c>
      <c r="W91" s="1">
        <v>1.2352000000000001</v>
      </c>
      <c r="X91" s="1">
        <f t="shared" si="9"/>
        <v>1.2208199999999998</v>
      </c>
      <c r="Y91" s="1">
        <f t="shared" si="13"/>
        <v>2.4756532364950505E-2</v>
      </c>
      <c r="Z91" s="1">
        <f t="shared" si="10"/>
        <v>2.0278609758154773</v>
      </c>
      <c r="AA91" s="1">
        <f t="shared" si="11"/>
        <v>1.1847000000000001</v>
      </c>
      <c r="AB91" s="1">
        <f t="shared" si="12"/>
        <v>1.268</v>
      </c>
    </row>
    <row r="92" spans="1:28">
      <c r="A92" t="s">
        <v>42</v>
      </c>
      <c r="B92" t="s">
        <v>38</v>
      </c>
      <c r="C92" t="s">
        <v>30</v>
      </c>
      <c r="D92" s="1">
        <v>0.32300000000000001</v>
      </c>
      <c r="E92" s="1">
        <v>0.3236</v>
      </c>
      <c r="F92" s="1">
        <v>0.2823</v>
      </c>
      <c r="G92" s="1">
        <v>0.28120000000000001</v>
      </c>
      <c r="H92" s="1">
        <v>0.30470000000000003</v>
      </c>
      <c r="I92" s="1">
        <v>0.29599999999999999</v>
      </c>
      <c r="J92" s="1">
        <v>0.31840000000000002</v>
      </c>
      <c r="K92" s="1">
        <v>0.30199999999999999</v>
      </c>
      <c r="L92" s="1">
        <v>0.30680000000000002</v>
      </c>
      <c r="M92" s="1">
        <v>0.29659999999999997</v>
      </c>
      <c r="N92" s="1">
        <v>0.25769999999999998</v>
      </c>
      <c r="O92" s="1">
        <v>0.315</v>
      </c>
      <c r="P92" s="1">
        <v>0.30109999999999998</v>
      </c>
      <c r="Q92" s="1">
        <v>0.28820000000000001</v>
      </c>
      <c r="R92" s="1">
        <v>0.27150000000000002</v>
      </c>
      <c r="S92" s="1">
        <v>0.29420000000000002</v>
      </c>
      <c r="T92" s="1">
        <v>0.30159999999999998</v>
      </c>
      <c r="U92" s="1">
        <v>0.31219999999999998</v>
      </c>
      <c r="V92" s="1">
        <v>0.30649999999999999</v>
      </c>
      <c r="W92" s="1">
        <v>0.31569999999999998</v>
      </c>
      <c r="X92" s="1">
        <f t="shared" si="9"/>
        <v>0.29991499999999993</v>
      </c>
      <c r="Y92" s="1">
        <f t="shared" si="13"/>
        <v>1.7216524345125991E-2</v>
      </c>
      <c r="Z92" s="1">
        <f t="shared" si="10"/>
        <v>5.7404679142843786</v>
      </c>
      <c r="AA92" s="1">
        <f t="shared" si="11"/>
        <v>0.25769999999999998</v>
      </c>
      <c r="AB92" s="1">
        <f t="shared" si="12"/>
        <v>0.3236</v>
      </c>
    </row>
    <row r="93" spans="1:28">
      <c r="A93" t="s">
        <v>42</v>
      </c>
      <c r="B93" t="s">
        <v>38</v>
      </c>
      <c r="C93" t="s">
        <v>31</v>
      </c>
      <c r="D93" s="1">
        <v>0.48670000000000002</v>
      </c>
      <c r="E93" s="1">
        <v>0.46079999999999999</v>
      </c>
      <c r="F93" s="1">
        <v>0.47089999999999999</v>
      </c>
      <c r="G93" s="1">
        <v>0.44740000000000002</v>
      </c>
      <c r="H93" s="1">
        <v>0.44729999999999998</v>
      </c>
      <c r="I93" s="1">
        <v>0.45340000000000003</v>
      </c>
      <c r="J93" s="1">
        <v>0.43540000000000001</v>
      </c>
      <c r="K93" s="1">
        <v>0.495</v>
      </c>
      <c r="L93" s="1">
        <v>0.45700000000000002</v>
      </c>
      <c r="M93" s="1">
        <v>0.46150000000000002</v>
      </c>
      <c r="N93" s="1">
        <v>0.4617</v>
      </c>
      <c r="O93" s="1">
        <v>0.4718</v>
      </c>
      <c r="P93" s="1">
        <v>0.45639999999999997</v>
      </c>
      <c r="Q93" s="1">
        <v>0.46710000000000002</v>
      </c>
      <c r="R93" s="1">
        <v>0.43390000000000001</v>
      </c>
      <c r="S93" s="1">
        <v>0.45650000000000002</v>
      </c>
      <c r="T93" s="1">
        <v>0.4622</v>
      </c>
      <c r="U93" s="1">
        <v>0.45689999999999997</v>
      </c>
      <c r="V93" s="1">
        <v>0.4501</v>
      </c>
      <c r="W93" s="1">
        <v>0.46870000000000001</v>
      </c>
      <c r="X93" s="1">
        <f t="shared" si="9"/>
        <v>0.46003500000000008</v>
      </c>
      <c r="Y93" s="1">
        <f t="shared" si="13"/>
        <v>1.4733501924096944E-2</v>
      </c>
      <c r="Z93" s="1">
        <f t="shared" si="10"/>
        <v>3.202691517840369</v>
      </c>
      <c r="AA93" s="1">
        <f t="shared" si="11"/>
        <v>0.43390000000000001</v>
      </c>
      <c r="AB93" s="1">
        <f t="shared" si="12"/>
        <v>0.495</v>
      </c>
    </row>
    <row r="94" spans="1:28">
      <c r="A94" t="s">
        <v>42</v>
      </c>
      <c r="B94" t="s">
        <v>38</v>
      </c>
      <c r="C94" t="s">
        <v>32</v>
      </c>
      <c r="D94" s="1">
        <v>0.65090000000000003</v>
      </c>
      <c r="E94" s="1">
        <v>0.69740000000000002</v>
      </c>
      <c r="F94" s="1">
        <v>0.65849999999999997</v>
      </c>
      <c r="G94" s="1">
        <v>0.67520000000000002</v>
      </c>
      <c r="H94" s="1">
        <v>0.64200000000000002</v>
      </c>
      <c r="I94" s="1">
        <v>0.69830000000000003</v>
      </c>
      <c r="J94" s="1">
        <v>0.7671</v>
      </c>
      <c r="K94" s="1">
        <v>0.70430000000000004</v>
      </c>
      <c r="L94" s="1">
        <v>0.71789999999999998</v>
      </c>
      <c r="M94" s="1">
        <v>0.66149999999999998</v>
      </c>
      <c r="N94" s="1">
        <v>0.65359999999999996</v>
      </c>
      <c r="O94" s="1">
        <v>0.69479999999999997</v>
      </c>
      <c r="P94" s="1">
        <v>0.66969999999999996</v>
      </c>
      <c r="Q94" s="1">
        <v>0.68169999999999997</v>
      </c>
      <c r="R94" s="1">
        <v>0.74109999999999998</v>
      </c>
      <c r="S94" s="1">
        <v>0.69830000000000003</v>
      </c>
      <c r="T94" s="1">
        <v>0.69410000000000005</v>
      </c>
      <c r="U94" s="1">
        <v>0.70389999999999997</v>
      </c>
      <c r="V94" s="1">
        <v>0.66200000000000003</v>
      </c>
      <c r="W94" s="1">
        <v>0.72040000000000004</v>
      </c>
      <c r="X94" s="1">
        <f t="shared" si="9"/>
        <v>0.689635</v>
      </c>
      <c r="Y94" s="1">
        <f t="shared" si="13"/>
        <v>3.1897785354571502E-2</v>
      </c>
      <c r="Z94" s="1">
        <f t="shared" si="10"/>
        <v>4.6253141668522488</v>
      </c>
      <c r="AA94" s="1">
        <f t="shared" si="11"/>
        <v>0.64200000000000002</v>
      </c>
      <c r="AB94" s="1">
        <f t="shared" si="12"/>
        <v>0.7671</v>
      </c>
    </row>
    <row r="95" spans="1:28">
      <c r="A95" t="s">
        <v>42</v>
      </c>
      <c r="B95" t="s">
        <v>38</v>
      </c>
      <c r="C95" t="s">
        <v>33</v>
      </c>
      <c r="D95" s="1">
        <v>0.87990000000000002</v>
      </c>
      <c r="E95" s="1">
        <v>1.0978000000000001</v>
      </c>
      <c r="F95" s="1">
        <v>0.76359999999999995</v>
      </c>
      <c r="G95" s="1">
        <v>0.85840000000000005</v>
      </c>
      <c r="H95" s="1">
        <v>0.97419999999999995</v>
      </c>
      <c r="I95" s="1">
        <v>0.83250000000000002</v>
      </c>
      <c r="J95" s="1">
        <v>0.98</v>
      </c>
      <c r="K95" s="1">
        <v>0.94669999999999999</v>
      </c>
      <c r="L95" s="1">
        <v>1.0184</v>
      </c>
      <c r="M95" s="1">
        <v>0.98829999999999996</v>
      </c>
      <c r="N95" s="1">
        <v>0.99050000000000005</v>
      </c>
      <c r="O95" s="1">
        <v>0.91539999999999999</v>
      </c>
      <c r="P95" s="1">
        <v>0.97270000000000001</v>
      </c>
      <c r="Q95" s="1">
        <v>0.91020000000000001</v>
      </c>
      <c r="R95" s="1">
        <v>1.0084</v>
      </c>
      <c r="S95" s="1">
        <v>0.79010000000000002</v>
      </c>
      <c r="T95" s="1">
        <v>0.9163</v>
      </c>
      <c r="U95" s="1">
        <v>0.8125</v>
      </c>
      <c r="V95" s="1">
        <v>0.95040000000000002</v>
      </c>
      <c r="W95" s="1">
        <v>0.8095</v>
      </c>
      <c r="X95" s="1">
        <f t="shared" si="9"/>
        <v>0.92079</v>
      </c>
      <c r="Y95" s="1">
        <f t="shared" si="13"/>
        <v>8.8250772473136244E-2</v>
      </c>
      <c r="Z95" s="1">
        <f t="shared" si="10"/>
        <v>9.5842453190343342</v>
      </c>
      <c r="AA95" s="1">
        <f t="shared" si="11"/>
        <v>0.76359999999999995</v>
      </c>
      <c r="AB95" s="1">
        <f t="shared" si="12"/>
        <v>1.0978000000000001</v>
      </c>
    </row>
    <row r="96" spans="1:28">
      <c r="A96" t="s">
        <v>42</v>
      </c>
      <c r="B96" t="s">
        <v>38</v>
      </c>
      <c r="C96" t="s">
        <v>34</v>
      </c>
      <c r="D96" s="1">
        <v>1.1317999999999999</v>
      </c>
      <c r="E96" s="1">
        <v>1.0972999999999999</v>
      </c>
      <c r="F96" s="1">
        <v>1.2048000000000001</v>
      </c>
      <c r="G96" s="1">
        <v>1.0641</v>
      </c>
      <c r="H96" s="1">
        <v>1.1395999999999999</v>
      </c>
      <c r="I96" s="1">
        <v>1.2168000000000001</v>
      </c>
      <c r="J96" s="1">
        <v>1.1357999999999999</v>
      </c>
      <c r="K96" s="1">
        <v>0.94589999999999996</v>
      </c>
      <c r="L96" s="1">
        <v>1.151</v>
      </c>
      <c r="M96" s="1">
        <v>1.1236999999999999</v>
      </c>
      <c r="N96" s="1">
        <v>1.1241000000000001</v>
      </c>
      <c r="O96" s="1">
        <v>1.1255999999999999</v>
      </c>
      <c r="P96" s="1">
        <v>1.1543000000000001</v>
      </c>
      <c r="Q96" s="1">
        <v>1.1511</v>
      </c>
      <c r="R96" s="1">
        <v>1.1521999999999999</v>
      </c>
      <c r="S96" s="1">
        <v>1.2143999999999999</v>
      </c>
      <c r="T96" s="1">
        <v>1.2064999999999999</v>
      </c>
      <c r="U96" s="1">
        <v>1.1889000000000001</v>
      </c>
      <c r="V96" s="1">
        <v>1.1385000000000001</v>
      </c>
      <c r="W96" s="1">
        <v>1.1454</v>
      </c>
      <c r="X96" s="1">
        <f t="shared" si="9"/>
        <v>1.14059</v>
      </c>
      <c r="Y96" s="1">
        <f t="shared" si="13"/>
        <v>6.0322771296104312E-2</v>
      </c>
      <c r="Z96" s="1">
        <f t="shared" si="10"/>
        <v>5.2887340145104123</v>
      </c>
      <c r="AA96" s="1">
        <f t="shared" si="11"/>
        <v>0.94589999999999996</v>
      </c>
      <c r="AB96" s="1">
        <f t="shared" si="12"/>
        <v>1.2168000000000001</v>
      </c>
    </row>
    <row r="97" spans="1:28">
      <c r="A97" t="s">
        <v>42</v>
      </c>
      <c r="B97" t="s">
        <v>39</v>
      </c>
      <c r="C97" t="s">
        <v>30</v>
      </c>
      <c r="D97" s="1">
        <v>0.28320000000000001</v>
      </c>
      <c r="E97" s="1">
        <v>0.28420000000000001</v>
      </c>
      <c r="F97" s="1">
        <v>0.28120000000000001</v>
      </c>
      <c r="G97" s="1">
        <v>0.29409999999999997</v>
      </c>
      <c r="H97" s="1">
        <v>0.2974</v>
      </c>
      <c r="I97" s="1">
        <v>0.2918</v>
      </c>
      <c r="J97" s="1">
        <v>0.26</v>
      </c>
      <c r="K97" s="1">
        <v>0.24529999999999999</v>
      </c>
      <c r="L97" s="1">
        <v>0.2132</v>
      </c>
      <c r="M97" s="1">
        <v>0.26250000000000001</v>
      </c>
      <c r="N97" s="1">
        <v>0.2959</v>
      </c>
      <c r="O97" s="1">
        <v>0.26400000000000001</v>
      </c>
      <c r="P97" s="1">
        <v>0.24279999999999999</v>
      </c>
      <c r="Q97" s="1">
        <v>0.27560000000000001</v>
      </c>
      <c r="R97" s="1">
        <v>0.29730000000000001</v>
      </c>
      <c r="S97" s="1">
        <v>0.25419999999999998</v>
      </c>
      <c r="T97" s="1">
        <v>0.29909999999999998</v>
      </c>
      <c r="U97" s="1">
        <v>0.23139999999999999</v>
      </c>
      <c r="V97" s="1">
        <v>0.26190000000000002</v>
      </c>
      <c r="W97" s="1">
        <v>0.28189999999999998</v>
      </c>
      <c r="X97" s="1">
        <f t="shared" si="9"/>
        <v>0.27084999999999998</v>
      </c>
      <c r="Y97" s="1">
        <f t="shared" si="13"/>
        <v>2.4390669052777238E-2</v>
      </c>
      <c r="Z97" s="1">
        <f t="shared" si="10"/>
        <v>9.0052313283283141</v>
      </c>
      <c r="AA97" s="1">
        <f t="shared" si="11"/>
        <v>0.2132</v>
      </c>
      <c r="AB97" s="1">
        <f t="shared" si="12"/>
        <v>0.29909999999999998</v>
      </c>
    </row>
    <row r="98" spans="1:28">
      <c r="A98" t="s">
        <v>42</v>
      </c>
      <c r="B98" t="s">
        <v>39</v>
      </c>
      <c r="C98" t="s">
        <v>31</v>
      </c>
      <c r="D98" s="1">
        <v>0.3649</v>
      </c>
      <c r="E98" s="1">
        <v>0.3911</v>
      </c>
      <c r="F98" s="1">
        <v>0.4461</v>
      </c>
      <c r="G98" s="1">
        <v>0.45550000000000002</v>
      </c>
      <c r="H98" s="1">
        <v>0.43669999999999998</v>
      </c>
      <c r="I98" s="1">
        <v>0.42780000000000001</v>
      </c>
      <c r="J98" s="1">
        <v>0.42970000000000003</v>
      </c>
      <c r="K98" s="1">
        <v>0.44619999999999999</v>
      </c>
      <c r="L98" s="1">
        <v>0.4264</v>
      </c>
      <c r="M98" s="1">
        <v>0.4269</v>
      </c>
      <c r="N98" s="1">
        <v>0.37109999999999999</v>
      </c>
      <c r="O98" s="1">
        <v>0.41980000000000001</v>
      </c>
      <c r="P98" s="1">
        <v>0.44440000000000002</v>
      </c>
      <c r="Q98" s="1">
        <v>0.44019999999999998</v>
      </c>
      <c r="R98" s="1">
        <v>0.44030000000000002</v>
      </c>
      <c r="S98" s="1">
        <v>0.39439999999999997</v>
      </c>
      <c r="T98" s="1">
        <v>0.4234</v>
      </c>
      <c r="U98" s="1">
        <v>0.37680000000000002</v>
      </c>
      <c r="V98" s="1">
        <v>0.41799999999999998</v>
      </c>
      <c r="W98" s="1">
        <v>0.44669999999999999</v>
      </c>
      <c r="X98" s="1">
        <f t="shared" ref="X98:X129" si="14">AVERAGE(D98:W98)</f>
        <v>0.42132000000000003</v>
      </c>
      <c r="Y98" s="1">
        <f t="shared" si="13"/>
        <v>2.7186927973413596E-2</v>
      </c>
      <c r="Z98" s="1">
        <f t="shared" ref="Z98:Z129" si="15">IFERROR(Y98/X98*100,"")</f>
        <v>6.4527978670401582</v>
      </c>
      <c r="AA98" s="1">
        <f t="shared" ref="AA98:AA129" si="16">MIN(D98:W98)</f>
        <v>0.3649</v>
      </c>
      <c r="AB98" s="1">
        <f t="shared" ref="AB98:AB129" si="17">MAX(D98:W98)</f>
        <v>0.45550000000000002</v>
      </c>
    </row>
    <row r="99" spans="1:28">
      <c r="A99" t="s">
        <v>42</v>
      </c>
      <c r="B99" t="s">
        <v>39</v>
      </c>
      <c r="C99" t="s">
        <v>32</v>
      </c>
      <c r="D99" s="1">
        <v>0.62729999999999997</v>
      </c>
      <c r="E99" s="1">
        <v>0.63229999999999997</v>
      </c>
      <c r="F99" s="1">
        <v>0.5857</v>
      </c>
      <c r="G99" s="1">
        <v>0.66449999999999998</v>
      </c>
      <c r="H99" s="1">
        <v>0.66190000000000004</v>
      </c>
      <c r="I99" s="1">
        <v>0.62560000000000004</v>
      </c>
      <c r="J99" s="1">
        <v>0.59160000000000001</v>
      </c>
      <c r="K99" s="1">
        <v>0.66979999999999995</v>
      </c>
      <c r="L99" s="1">
        <v>0.62409999999999999</v>
      </c>
      <c r="M99" s="1">
        <v>0.62560000000000004</v>
      </c>
      <c r="N99" s="1">
        <v>0.65300000000000002</v>
      </c>
      <c r="O99" s="1">
        <v>0.64970000000000006</v>
      </c>
      <c r="P99" s="1">
        <v>0.58889999999999998</v>
      </c>
      <c r="Q99" s="1">
        <v>0.61319999999999997</v>
      </c>
      <c r="R99" s="1">
        <v>0.64910000000000001</v>
      </c>
      <c r="S99" s="1">
        <v>0.64629999999999999</v>
      </c>
      <c r="T99" s="1">
        <v>0.61040000000000005</v>
      </c>
      <c r="U99" s="1">
        <v>0.60470000000000002</v>
      </c>
      <c r="V99" s="1">
        <v>0.61680000000000001</v>
      </c>
      <c r="W99" s="1">
        <v>0.65820000000000001</v>
      </c>
      <c r="X99" s="1">
        <f t="shared" si="14"/>
        <v>0.62993500000000013</v>
      </c>
      <c r="Y99" s="1">
        <f t="shared" si="13"/>
        <v>2.5983542868515827E-2</v>
      </c>
      <c r="Z99" s="1">
        <f t="shared" si="15"/>
        <v>4.1247974582323286</v>
      </c>
      <c r="AA99" s="1">
        <f t="shared" si="16"/>
        <v>0.5857</v>
      </c>
      <c r="AB99" s="1">
        <f t="shared" si="17"/>
        <v>0.66979999999999995</v>
      </c>
    </row>
    <row r="100" spans="1:28">
      <c r="A100" t="s">
        <v>42</v>
      </c>
      <c r="B100" t="s">
        <v>39</v>
      </c>
      <c r="C100" t="s">
        <v>33</v>
      </c>
      <c r="D100" s="1">
        <v>0.91879999999999995</v>
      </c>
      <c r="E100" s="1">
        <v>0.81369999999999998</v>
      </c>
      <c r="F100" s="1">
        <v>0.89300000000000002</v>
      </c>
      <c r="G100" s="1">
        <v>0.81689999999999996</v>
      </c>
      <c r="H100" s="1">
        <v>0.80149999999999999</v>
      </c>
      <c r="I100" s="1">
        <v>0.91180000000000005</v>
      </c>
      <c r="J100" s="1">
        <v>0.87990000000000002</v>
      </c>
      <c r="K100" s="1">
        <v>0.8427</v>
      </c>
      <c r="L100" s="1">
        <v>0.85470000000000002</v>
      </c>
      <c r="M100" s="1">
        <v>0.86980000000000002</v>
      </c>
      <c r="N100" s="1">
        <v>0.8619</v>
      </c>
      <c r="O100" s="1">
        <v>0.87929999999999997</v>
      </c>
      <c r="P100" s="1">
        <v>0.91620000000000001</v>
      </c>
      <c r="Q100" s="1">
        <v>0.88829999999999998</v>
      </c>
      <c r="R100" s="1">
        <v>0.90449999999999997</v>
      </c>
      <c r="S100" s="1">
        <v>0.84770000000000001</v>
      </c>
      <c r="T100" s="1">
        <v>0.87019999999999997</v>
      </c>
      <c r="U100" s="1">
        <v>0.88070000000000004</v>
      </c>
      <c r="V100" s="1">
        <v>0.88639999999999997</v>
      </c>
      <c r="W100" s="1">
        <v>0.88419999999999999</v>
      </c>
      <c r="X100" s="1">
        <f t="shared" si="14"/>
        <v>0.87111000000000005</v>
      </c>
      <c r="Y100" s="1">
        <f t="shared" si="13"/>
        <v>3.3471211510789391E-2</v>
      </c>
      <c r="Z100" s="1">
        <f t="shared" si="15"/>
        <v>3.8423633652224618</v>
      </c>
      <c r="AA100" s="1">
        <f t="shared" si="16"/>
        <v>0.80149999999999999</v>
      </c>
      <c r="AB100" s="1">
        <f t="shared" si="17"/>
        <v>0.91879999999999995</v>
      </c>
    </row>
    <row r="101" spans="1:28">
      <c r="A101" t="s">
        <v>42</v>
      </c>
      <c r="B101" t="s">
        <v>39</v>
      </c>
      <c r="C101" t="s">
        <v>34</v>
      </c>
      <c r="D101" s="1">
        <v>1.0876999999999999</v>
      </c>
      <c r="E101" s="1">
        <v>1.0177</v>
      </c>
      <c r="F101" s="1">
        <v>1.0470999999999999</v>
      </c>
      <c r="G101" s="1">
        <v>0.97909999999999997</v>
      </c>
      <c r="H101" s="1">
        <v>1.0674999999999999</v>
      </c>
      <c r="I101" s="1">
        <v>1.1554</v>
      </c>
      <c r="J101" s="1">
        <v>1.0891</v>
      </c>
      <c r="K101" s="1">
        <v>1.0736000000000001</v>
      </c>
      <c r="L101" s="1">
        <v>1.0321</v>
      </c>
      <c r="M101" s="1">
        <v>1.0213000000000001</v>
      </c>
      <c r="N101" s="1">
        <v>1.0230999999999999</v>
      </c>
      <c r="O101" s="1">
        <v>1.0591999999999999</v>
      </c>
      <c r="P101" s="1">
        <v>1.1021000000000001</v>
      </c>
      <c r="Q101" s="1">
        <v>1.0444</v>
      </c>
      <c r="R101" s="1">
        <v>1.1396999999999999</v>
      </c>
      <c r="S101" s="1">
        <v>1.1695</v>
      </c>
      <c r="T101" s="1">
        <v>1.0701000000000001</v>
      </c>
      <c r="U101" s="1">
        <v>1.1792</v>
      </c>
      <c r="V101" s="1">
        <v>1.0196000000000001</v>
      </c>
      <c r="W101" s="1">
        <v>1.0693999999999999</v>
      </c>
      <c r="X101" s="1">
        <f t="shared" si="14"/>
        <v>1.0723449999999999</v>
      </c>
      <c r="Y101" s="1">
        <f t="shared" si="13"/>
        <v>5.4500907525036967E-2</v>
      </c>
      <c r="Z101" s="1">
        <f t="shared" si="15"/>
        <v>5.0824042192612424</v>
      </c>
      <c r="AA101" s="1">
        <f t="shared" si="16"/>
        <v>0.97909999999999997</v>
      </c>
      <c r="AB101" s="1">
        <f t="shared" si="17"/>
        <v>1.1792</v>
      </c>
    </row>
    <row r="102" spans="1:28">
      <c r="A102" t="s">
        <v>42</v>
      </c>
      <c r="B102" t="s">
        <v>40</v>
      </c>
      <c r="C102" t="s">
        <v>30</v>
      </c>
      <c r="D102" s="1">
        <v>0.23899999999999999</v>
      </c>
      <c r="E102" s="1">
        <v>0.26219999999999999</v>
      </c>
      <c r="F102" s="1">
        <v>0.24049999999999999</v>
      </c>
      <c r="G102" s="1">
        <v>0.25040000000000001</v>
      </c>
      <c r="H102" s="1">
        <v>0.2157</v>
      </c>
      <c r="I102" s="1">
        <v>0.2455</v>
      </c>
      <c r="J102" s="1">
        <v>0.23130000000000001</v>
      </c>
      <c r="K102" s="1">
        <v>0.23860000000000001</v>
      </c>
      <c r="L102" s="1">
        <v>0.23269999999999999</v>
      </c>
      <c r="M102" s="1">
        <v>0.21379999999999999</v>
      </c>
      <c r="N102" s="1">
        <v>0.2545</v>
      </c>
      <c r="O102" s="1">
        <v>0.23100000000000001</v>
      </c>
      <c r="P102" s="1">
        <v>0.26069999999999999</v>
      </c>
      <c r="Q102" s="1">
        <v>0.26729999999999998</v>
      </c>
      <c r="R102" s="1">
        <v>0.23599999999999999</v>
      </c>
      <c r="S102" s="1">
        <v>0.2271</v>
      </c>
      <c r="T102" s="1">
        <v>0.23960000000000001</v>
      </c>
      <c r="U102" s="1">
        <v>0.24729999999999999</v>
      </c>
      <c r="V102" s="1">
        <v>0.2382</v>
      </c>
      <c r="W102" s="1">
        <v>0.2273</v>
      </c>
      <c r="X102" s="1">
        <f t="shared" si="14"/>
        <v>0.23993500000000001</v>
      </c>
      <c r="Y102" s="1">
        <f t="shared" si="13"/>
        <v>1.4337483997146116E-2</v>
      </c>
      <c r="Z102" s="1">
        <f t="shared" si="15"/>
        <v>5.9755700490324939</v>
      </c>
      <c r="AA102" s="1">
        <f t="shared" si="16"/>
        <v>0.21379999999999999</v>
      </c>
      <c r="AB102" s="1">
        <f t="shared" si="17"/>
        <v>0.26729999999999998</v>
      </c>
    </row>
    <row r="103" spans="1:28">
      <c r="A103" t="s">
        <v>42</v>
      </c>
      <c r="B103" t="s">
        <v>40</v>
      </c>
      <c r="C103" t="s">
        <v>31</v>
      </c>
      <c r="D103" s="1">
        <v>0.38069999999999998</v>
      </c>
      <c r="E103" s="1">
        <v>0.34870000000000001</v>
      </c>
      <c r="F103" s="1">
        <v>0.38440000000000002</v>
      </c>
      <c r="G103" s="1">
        <v>0.39910000000000001</v>
      </c>
      <c r="H103" s="1">
        <v>0.40639999999999998</v>
      </c>
      <c r="I103" s="1">
        <v>0.37509999999999999</v>
      </c>
      <c r="J103" s="1">
        <v>0.39710000000000001</v>
      </c>
      <c r="K103" s="1">
        <v>0.379</v>
      </c>
      <c r="L103" s="1">
        <v>0.37669999999999998</v>
      </c>
      <c r="M103" s="1">
        <v>0.43940000000000001</v>
      </c>
      <c r="N103" s="1">
        <v>0.3266</v>
      </c>
      <c r="O103" s="1">
        <v>0.36509999999999998</v>
      </c>
      <c r="P103" s="1">
        <v>0.35170000000000001</v>
      </c>
      <c r="Q103" s="1">
        <v>0.4168</v>
      </c>
      <c r="R103" s="1">
        <v>0.35039999999999999</v>
      </c>
      <c r="S103" s="1">
        <v>0.42030000000000001</v>
      </c>
      <c r="T103" s="1">
        <v>0.38350000000000001</v>
      </c>
      <c r="U103" s="1">
        <v>0.36070000000000002</v>
      </c>
      <c r="V103" s="1">
        <v>0.39429999999999998</v>
      </c>
      <c r="W103" s="1">
        <v>0.33169999999999999</v>
      </c>
      <c r="X103" s="1">
        <f t="shared" si="14"/>
        <v>0.37938500000000003</v>
      </c>
      <c r="Y103" s="1">
        <f t="shared" si="13"/>
        <v>2.9523840054758246E-2</v>
      </c>
      <c r="Z103" s="1">
        <f t="shared" si="15"/>
        <v>7.7820261883728259</v>
      </c>
      <c r="AA103" s="1">
        <f t="shared" si="16"/>
        <v>0.3266</v>
      </c>
      <c r="AB103" s="1">
        <f t="shared" si="17"/>
        <v>0.43940000000000001</v>
      </c>
    </row>
    <row r="104" spans="1:28">
      <c r="A104" t="s">
        <v>42</v>
      </c>
      <c r="B104" t="s">
        <v>40</v>
      </c>
      <c r="C104" t="s">
        <v>32</v>
      </c>
      <c r="D104" s="1">
        <v>0.60199999999999998</v>
      </c>
      <c r="E104" s="1">
        <v>0.58260000000000001</v>
      </c>
      <c r="F104" s="1">
        <v>0.5827</v>
      </c>
      <c r="G104" s="1">
        <v>0.53869999999999996</v>
      </c>
      <c r="H104" s="1">
        <v>0.50729999999999997</v>
      </c>
      <c r="I104" s="1">
        <v>0.55420000000000003</v>
      </c>
      <c r="J104" s="1">
        <v>0.58779999999999999</v>
      </c>
      <c r="K104" s="1">
        <v>0.58109999999999995</v>
      </c>
      <c r="L104" s="1">
        <v>0.51259999999999994</v>
      </c>
      <c r="M104" s="1">
        <v>0.50019999999999998</v>
      </c>
      <c r="N104" s="1">
        <v>0.58040000000000003</v>
      </c>
      <c r="O104" s="1">
        <v>0.49590000000000001</v>
      </c>
      <c r="P104" s="1">
        <v>0.44500000000000001</v>
      </c>
      <c r="Q104" s="1">
        <v>0.49759999999999999</v>
      </c>
      <c r="R104" s="1">
        <v>0.57530000000000003</v>
      </c>
      <c r="S104" s="1">
        <v>0.5645</v>
      </c>
      <c r="T104" s="1">
        <v>0.5544</v>
      </c>
      <c r="U104" s="1">
        <v>0.54900000000000004</v>
      </c>
      <c r="V104" s="1">
        <v>0.59699999999999998</v>
      </c>
      <c r="W104" s="1">
        <v>0.59660000000000002</v>
      </c>
      <c r="X104" s="1">
        <f t="shared" si="14"/>
        <v>0.55024499999999998</v>
      </c>
      <c r="Y104" s="1">
        <f t="shared" si="13"/>
        <v>4.3499128545414864E-2</v>
      </c>
      <c r="Z104" s="1">
        <f t="shared" si="15"/>
        <v>7.9054109615561918</v>
      </c>
      <c r="AA104" s="1">
        <f t="shared" si="16"/>
        <v>0.44500000000000001</v>
      </c>
      <c r="AB104" s="1">
        <f t="shared" si="17"/>
        <v>0.60199999999999998</v>
      </c>
    </row>
    <row r="105" spans="1:28">
      <c r="A105" t="s">
        <v>42</v>
      </c>
      <c r="B105" t="s">
        <v>40</v>
      </c>
      <c r="C105" t="s">
        <v>33</v>
      </c>
      <c r="D105" s="1">
        <v>0.86099999999999999</v>
      </c>
      <c r="E105" s="1">
        <v>0.72260000000000002</v>
      </c>
      <c r="F105" s="1">
        <v>0.86870000000000003</v>
      </c>
      <c r="G105" s="1">
        <v>0.89690000000000003</v>
      </c>
      <c r="H105" s="1">
        <v>0.75790000000000002</v>
      </c>
      <c r="I105" s="1">
        <v>0.63129999999999997</v>
      </c>
      <c r="J105" s="1">
        <v>0.89300000000000002</v>
      </c>
      <c r="K105" s="1">
        <v>0.82599999999999996</v>
      </c>
      <c r="L105" s="1">
        <v>0.90329999999999999</v>
      </c>
      <c r="M105" s="1">
        <v>0.751</v>
      </c>
      <c r="N105" s="1">
        <v>0.73329999999999995</v>
      </c>
      <c r="O105" s="1">
        <v>0.71440000000000003</v>
      </c>
      <c r="P105" s="1">
        <v>0.79590000000000005</v>
      </c>
      <c r="Q105" s="1">
        <v>0.90759999999999996</v>
      </c>
      <c r="R105" s="1">
        <v>0.77329999999999999</v>
      </c>
      <c r="S105" s="1">
        <v>0.78569999999999995</v>
      </c>
      <c r="T105" s="1">
        <v>0.74219999999999997</v>
      </c>
      <c r="U105" s="1">
        <v>0.75219999999999998</v>
      </c>
      <c r="V105" s="1">
        <v>0.66639999999999999</v>
      </c>
      <c r="W105" s="1">
        <v>0.84079999999999999</v>
      </c>
      <c r="X105" s="1">
        <f t="shared" si="14"/>
        <v>0.79117499999999996</v>
      </c>
      <c r="Y105" s="1">
        <f t="shared" si="13"/>
        <v>8.0889761729353485E-2</v>
      </c>
      <c r="Z105" s="1">
        <f t="shared" si="15"/>
        <v>10.224003757620437</v>
      </c>
      <c r="AA105" s="1">
        <f t="shared" si="16"/>
        <v>0.63129999999999997</v>
      </c>
      <c r="AB105" s="1">
        <f t="shared" si="17"/>
        <v>0.90759999999999996</v>
      </c>
    </row>
    <row r="106" spans="1:28">
      <c r="A106" t="s">
        <v>42</v>
      </c>
      <c r="B106" t="s">
        <v>40</v>
      </c>
      <c r="C106" t="s">
        <v>34</v>
      </c>
      <c r="D106" s="1">
        <v>0.90429999999999999</v>
      </c>
      <c r="E106" s="1">
        <v>0.9214</v>
      </c>
      <c r="F106" s="1">
        <v>0.95760000000000001</v>
      </c>
      <c r="G106" s="1">
        <v>1.0396000000000001</v>
      </c>
      <c r="H106" s="1">
        <v>1.0346</v>
      </c>
      <c r="I106" s="1">
        <v>0.92379999999999995</v>
      </c>
      <c r="J106" s="1">
        <v>1.0188999999999999</v>
      </c>
      <c r="K106" s="1">
        <v>1.18</v>
      </c>
      <c r="L106" s="1">
        <v>0.96220000000000006</v>
      </c>
      <c r="M106" s="1">
        <v>0.98629999999999995</v>
      </c>
      <c r="N106" s="1">
        <v>0.94430000000000003</v>
      </c>
      <c r="O106" s="1">
        <v>0.96060000000000001</v>
      </c>
      <c r="P106" s="1">
        <v>0.99199999999999999</v>
      </c>
      <c r="Q106" s="1">
        <v>0.90300000000000002</v>
      </c>
      <c r="R106" s="1">
        <v>0.95689999999999997</v>
      </c>
      <c r="S106" s="1">
        <v>0.9345</v>
      </c>
      <c r="T106" s="1">
        <v>0.95440000000000003</v>
      </c>
      <c r="U106" s="1">
        <v>0.99060000000000004</v>
      </c>
      <c r="V106" s="1">
        <v>1.0204</v>
      </c>
      <c r="W106" s="1">
        <v>0.87450000000000006</v>
      </c>
      <c r="X106" s="1">
        <f t="shared" si="14"/>
        <v>0.97299499999999983</v>
      </c>
      <c r="Y106" s="1">
        <f t="shared" si="13"/>
        <v>6.6532204113575896E-2</v>
      </c>
      <c r="Z106" s="1">
        <f t="shared" si="15"/>
        <v>6.8378772875067089</v>
      </c>
      <c r="AA106" s="1">
        <f t="shared" si="16"/>
        <v>0.87450000000000006</v>
      </c>
      <c r="AB106" s="1">
        <f t="shared" si="17"/>
        <v>1.18</v>
      </c>
    </row>
    <row r="107" spans="1:28">
      <c r="A107" t="s">
        <v>43</v>
      </c>
      <c r="B107" t="s">
        <v>29</v>
      </c>
      <c r="C107" t="s">
        <v>30</v>
      </c>
      <c r="D107" s="1">
        <v>0.2137</v>
      </c>
      <c r="E107" s="1">
        <v>0.23219999999999999</v>
      </c>
      <c r="F107" s="1">
        <v>0.2195</v>
      </c>
      <c r="G107" s="1">
        <v>0.2107</v>
      </c>
      <c r="H107" s="1">
        <v>0.21870000000000001</v>
      </c>
      <c r="I107" s="1">
        <v>0.2492</v>
      </c>
      <c r="J107" s="1">
        <v>0.23730000000000001</v>
      </c>
      <c r="K107" s="1">
        <v>0.2102</v>
      </c>
      <c r="L107" s="1">
        <v>0.23710000000000001</v>
      </c>
      <c r="M107" s="1">
        <v>0.2616</v>
      </c>
      <c r="N107" s="1">
        <v>0.2442</v>
      </c>
      <c r="O107" s="1">
        <v>0.2273</v>
      </c>
      <c r="P107" s="1">
        <v>0.18149999999999999</v>
      </c>
      <c r="Q107" s="1">
        <v>0.23169999999999999</v>
      </c>
      <c r="R107" s="1">
        <v>0.23139999999999999</v>
      </c>
      <c r="S107" s="1">
        <v>0.2369</v>
      </c>
      <c r="T107" s="1">
        <v>0.26150000000000001</v>
      </c>
      <c r="U107" s="1">
        <v>0.24729999999999999</v>
      </c>
      <c r="V107" s="1">
        <v>0.23219999999999999</v>
      </c>
      <c r="W107" s="1">
        <v>0.21640000000000001</v>
      </c>
      <c r="X107" s="1">
        <f t="shared" si="14"/>
        <v>0.23002999999999996</v>
      </c>
      <c r="Y107" s="1">
        <f t="shared" si="13"/>
        <v>1.8972087530452677E-2</v>
      </c>
      <c r="Z107" s="1">
        <f t="shared" si="15"/>
        <v>8.2476579274236759</v>
      </c>
      <c r="AA107" s="1">
        <f t="shared" si="16"/>
        <v>0.18149999999999999</v>
      </c>
      <c r="AB107" s="1">
        <f t="shared" si="17"/>
        <v>0.2616</v>
      </c>
    </row>
    <row r="108" spans="1:28">
      <c r="A108" t="s">
        <v>43</v>
      </c>
      <c r="B108" t="s">
        <v>29</v>
      </c>
      <c r="C108" t="s">
        <v>31</v>
      </c>
      <c r="D108" s="1">
        <v>0.33850000000000002</v>
      </c>
      <c r="E108" s="1">
        <v>0.39079999999999998</v>
      </c>
      <c r="F108" s="1">
        <v>0.3594</v>
      </c>
      <c r="G108" s="1">
        <v>0.35849999999999999</v>
      </c>
      <c r="H108" s="1">
        <v>0.34570000000000001</v>
      </c>
      <c r="I108" s="1">
        <v>0.36620000000000003</v>
      </c>
      <c r="J108" s="1">
        <v>0.37790000000000001</v>
      </c>
      <c r="K108" s="1">
        <v>0.3679</v>
      </c>
      <c r="L108" s="1">
        <v>0.312</v>
      </c>
      <c r="M108" s="1">
        <v>0.3226</v>
      </c>
      <c r="N108" s="1">
        <v>0.34610000000000002</v>
      </c>
      <c r="O108" s="1">
        <v>0.34749999999999998</v>
      </c>
      <c r="P108" s="1">
        <v>0.31929999999999997</v>
      </c>
      <c r="Q108" s="1">
        <v>0.35570000000000002</v>
      </c>
      <c r="R108" s="1">
        <v>0.34189999999999998</v>
      </c>
      <c r="S108" s="1">
        <v>0.36969999999999997</v>
      </c>
      <c r="T108" s="1">
        <v>0.32150000000000001</v>
      </c>
      <c r="U108" s="1">
        <v>0.33929999999999999</v>
      </c>
      <c r="V108" s="1">
        <v>0.35099999999999998</v>
      </c>
      <c r="W108" s="1">
        <v>0.3725</v>
      </c>
      <c r="X108" s="1">
        <f t="shared" si="14"/>
        <v>0.35019999999999996</v>
      </c>
      <c r="Y108" s="1">
        <f t="shared" si="13"/>
        <v>2.1045489578029479E-2</v>
      </c>
      <c r="Z108" s="1">
        <f t="shared" si="15"/>
        <v>6.0095629863019653</v>
      </c>
      <c r="AA108" s="1">
        <f t="shared" si="16"/>
        <v>0.312</v>
      </c>
      <c r="AB108" s="1">
        <f t="shared" si="17"/>
        <v>0.39079999999999998</v>
      </c>
    </row>
    <row r="109" spans="1:28">
      <c r="A109" t="s">
        <v>43</v>
      </c>
      <c r="B109" t="s">
        <v>29</v>
      </c>
      <c r="C109" t="s">
        <v>32</v>
      </c>
      <c r="D109" s="1">
        <v>0.4047</v>
      </c>
      <c r="E109" s="1">
        <v>0.49099999999999999</v>
      </c>
      <c r="F109" s="1">
        <v>0.47820000000000001</v>
      </c>
      <c r="G109" s="1">
        <v>0.52700000000000002</v>
      </c>
      <c r="H109" s="1">
        <v>0.55940000000000001</v>
      </c>
      <c r="I109" s="1">
        <v>0.50229999999999997</v>
      </c>
      <c r="J109" s="1">
        <v>0.46839999999999998</v>
      </c>
      <c r="K109" s="1">
        <v>0.4829</v>
      </c>
      <c r="L109" s="1">
        <v>0.50529999999999997</v>
      </c>
      <c r="M109" s="1">
        <v>0.53269999999999995</v>
      </c>
      <c r="N109" s="1">
        <v>0.46389999999999998</v>
      </c>
      <c r="O109" s="1">
        <v>0.45229999999999998</v>
      </c>
      <c r="P109" s="1">
        <v>0.51170000000000004</v>
      </c>
      <c r="Q109" s="1">
        <v>0.43009999999999998</v>
      </c>
      <c r="R109" s="1">
        <v>0.45590000000000003</v>
      </c>
      <c r="S109" s="1">
        <v>0.55230000000000001</v>
      </c>
      <c r="T109" s="1">
        <v>0.43980000000000002</v>
      </c>
      <c r="U109" s="1">
        <v>0.48749999999999999</v>
      </c>
      <c r="V109" s="1">
        <v>0.56330000000000002</v>
      </c>
      <c r="W109" s="1">
        <v>0.51070000000000004</v>
      </c>
      <c r="X109" s="1">
        <f t="shared" si="14"/>
        <v>0.49097000000000007</v>
      </c>
      <c r="Y109" s="1">
        <f t="shared" si="13"/>
        <v>4.3432756253655766E-2</v>
      </c>
      <c r="Z109" s="1">
        <f t="shared" si="15"/>
        <v>8.8463157124988818</v>
      </c>
      <c r="AA109" s="1">
        <f t="shared" si="16"/>
        <v>0.4047</v>
      </c>
      <c r="AB109" s="1">
        <f t="shared" si="17"/>
        <v>0.56330000000000002</v>
      </c>
    </row>
    <row r="110" spans="1:28">
      <c r="A110" t="s">
        <v>43</v>
      </c>
      <c r="B110" t="s">
        <v>29</v>
      </c>
      <c r="C110" t="s">
        <v>33</v>
      </c>
      <c r="D110" s="1">
        <v>0.64670000000000005</v>
      </c>
      <c r="E110" s="1">
        <v>0.62380000000000002</v>
      </c>
      <c r="F110" s="1">
        <v>0.63370000000000004</v>
      </c>
      <c r="G110" s="1">
        <v>0.63749999999999996</v>
      </c>
      <c r="H110" s="1">
        <v>0.65459999999999996</v>
      </c>
      <c r="I110" s="1">
        <v>0.68279999999999996</v>
      </c>
      <c r="J110" s="1">
        <v>0.6431</v>
      </c>
      <c r="K110" s="1">
        <v>0.6804</v>
      </c>
      <c r="L110" s="1">
        <v>0.64419999999999999</v>
      </c>
      <c r="M110" s="1">
        <v>0.63719999999999999</v>
      </c>
      <c r="N110" s="1">
        <v>0.67130000000000001</v>
      </c>
      <c r="O110" s="1">
        <v>0.64459999999999995</v>
      </c>
      <c r="P110" s="1">
        <v>0.65590000000000004</v>
      </c>
      <c r="Q110" s="1">
        <v>0.6159</v>
      </c>
      <c r="R110" s="1">
        <v>0.62670000000000003</v>
      </c>
      <c r="S110" s="1">
        <v>0.67130000000000001</v>
      </c>
      <c r="T110" s="1">
        <v>0.67769999999999997</v>
      </c>
      <c r="U110" s="1">
        <v>0.58679999999999999</v>
      </c>
      <c r="V110" s="1">
        <v>0.67810000000000004</v>
      </c>
      <c r="W110" s="1">
        <v>0.70740000000000003</v>
      </c>
      <c r="X110" s="1">
        <f t="shared" si="14"/>
        <v>0.65098499999999992</v>
      </c>
      <c r="Y110" s="1">
        <f t="shared" si="13"/>
        <v>2.7993481854099347E-2</v>
      </c>
      <c r="Z110" s="1">
        <f t="shared" si="15"/>
        <v>4.3001730998562717</v>
      </c>
      <c r="AA110" s="1">
        <f t="shared" si="16"/>
        <v>0.58679999999999999</v>
      </c>
      <c r="AB110" s="1">
        <f t="shared" si="17"/>
        <v>0.70740000000000003</v>
      </c>
    </row>
    <row r="111" spans="1:28">
      <c r="A111" t="s">
        <v>43</v>
      </c>
      <c r="B111" t="s">
        <v>29</v>
      </c>
      <c r="C111" t="s">
        <v>34</v>
      </c>
      <c r="D111" s="1">
        <v>0.81789999999999996</v>
      </c>
      <c r="E111" s="1">
        <v>0.77810000000000001</v>
      </c>
      <c r="F111" s="1">
        <v>0.81369999999999998</v>
      </c>
      <c r="G111" s="1">
        <v>0.77310000000000001</v>
      </c>
      <c r="H111" s="1">
        <v>0.86639999999999995</v>
      </c>
      <c r="I111" s="1">
        <v>0.76529999999999998</v>
      </c>
      <c r="J111" s="1">
        <v>0.75149999999999995</v>
      </c>
      <c r="K111" s="1">
        <v>0.82630000000000003</v>
      </c>
      <c r="L111" s="1">
        <v>0.79510000000000003</v>
      </c>
      <c r="M111" s="1">
        <v>0.74209999999999998</v>
      </c>
      <c r="N111" s="1">
        <v>0.87370000000000003</v>
      </c>
      <c r="O111" s="1">
        <v>0.79459999999999997</v>
      </c>
      <c r="P111" s="1">
        <v>0.8246</v>
      </c>
      <c r="Q111" s="1">
        <v>0.78969999999999996</v>
      </c>
      <c r="R111" s="1">
        <v>0.77259999999999995</v>
      </c>
      <c r="S111" s="1">
        <v>0.84430000000000005</v>
      </c>
      <c r="T111" s="1">
        <v>0.78890000000000005</v>
      </c>
      <c r="U111" s="1">
        <v>0.81010000000000004</v>
      </c>
      <c r="V111" s="1">
        <v>0.81259999999999999</v>
      </c>
      <c r="W111" s="1">
        <v>0.76880000000000004</v>
      </c>
      <c r="X111" s="1">
        <f t="shared" si="14"/>
        <v>0.80047000000000001</v>
      </c>
      <c r="Y111" s="1">
        <f t="shared" si="13"/>
        <v>3.5528403759305188E-2</v>
      </c>
      <c r="Z111" s="1">
        <f t="shared" si="15"/>
        <v>4.4384428847183761</v>
      </c>
      <c r="AA111" s="1">
        <f t="shared" si="16"/>
        <v>0.74209999999999998</v>
      </c>
      <c r="AB111" s="1">
        <f t="shared" si="17"/>
        <v>0.87370000000000003</v>
      </c>
    </row>
    <row r="112" spans="1:28">
      <c r="A112" t="s">
        <v>43</v>
      </c>
      <c r="B112" t="s">
        <v>35</v>
      </c>
      <c r="C112" t="s">
        <v>30</v>
      </c>
      <c r="D112" s="1">
        <v>0.17680000000000001</v>
      </c>
      <c r="E112" s="1">
        <v>0.16550000000000001</v>
      </c>
      <c r="F112" s="1">
        <v>0.1767</v>
      </c>
      <c r="G112" s="1">
        <v>0.19170000000000001</v>
      </c>
      <c r="H112" s="1">
        <v>0.17069999999999999</v>
      </c>
      <c r="I112" s="1">
        <v>0.1817</v>
      </c>
      <c r="J112" s="1">
        <v>0.18679999999999999</v>
      </c>
      <c r="K112" s="1">
        <v>0.1618</v>
      </c>
      <c r="L112" s="1">
        <v>0.1898</v>
      </c>
      <c r="M112" s="1">
        <v>0.20319999999999999</v>
      </c>
      <c r="N112" s="1">
        <v>0.19600000000000001</v>
      </c>
      <c r="O112" s="1">
        <v>0.1686</v>
      </c>
      <c r="P112" s="1">
        <v>0.15709999999999999</v>
      </c>
      <c r="Q112" s="1">
        <v>0.189</v>
      </c>
      <c r="R112" s="1">
        <v>0.1726</v>
      </c>
      <c r="S112" s="1">
        <v>0.18759999999999999</v>
      </c>
      <c r="T112" s="1">
        <v>0.17810000000000001</v>
      </c>
      <c r="U112" s="1">
        <v>0.1865</v>
      </c>
      <c r="V112" s="1">
        <v>0.1716</v>
      </c>
      <c r="W112" s="1">
        <v>0.18190000000000001</v>
      </c>
      <c r="X112" s="1">
        <f t="shared" si="14"/>
        <v>0.17968500000000004</v>
      </c>
      <c r="Y112" s="1">
        <f t="shared" si="13"/>
        <v>1.1901670603654544E-2</v>
      </c>
      <c r="Z112" s="1">
        <f t="shared" si="15"/>
        <v>6.6236305777636089</v>
      </c>
      <c r="AA112" s="1">
        <f t="shared" si="16"/>
        <v>0.15709999999999999</v>
      </c>
      <c r="AB112" s="1">
        <f t="shared" si="17"/>
        <v>0.20319999999999999</v>
      </c>
    </row>
    <row r="113" spans="1:28">
      <c r="A113" t="s">
        <v>43</v>
      </c>
      <c r="B113" t="s">
        <v>35</v>
      </c>
      <c r="C113" t="s">
        <v>31</v>
      </c>
      <c r="D113" s="1">
        <v>0.28289999999999998</v>
      </c>
      <c r="E113" s="1">
        <v>0.27810000000000001</v>
      </c>
      <c r="F113" s="1">
        <v>0.26860000000000001</v>
      </c>
      <c r="G113" s="1">
        <v>0.3427</v>
      </c>
      <c r="H113" s="1">
        <v>0.27829999999999999</v>
      </c>
      <c r="I113" s="1">
        <v>0.27039999999999997</v>
      </c>
      <c r="J113" s="1">
        <v>0.30669999999999997</v>
      </c>
      <c r="K113" s="1">
        <v>0.21149999999999999</v>
      </c>
      <c r="L113" s="1">
        <v>0.26640000000000003</v>
      </c>
      <c r="M113" s="1">
        <v>0.30080000000000001</v>
      </c>
      <c r="N113" s="1">
        <v>0.25969999999999999</v>
      </c>
      <c r="O113" s="1">
        <v>0.31459999999999999</v>
      </c>
      <c r="P113" s="1">
        <v>0.27339999999999998</v>
      </c>
      <c r="Q113" s="1">
        <v>0.25919999999999999</v>
      </c>
      <c r="R113" s="1">
        <v>0.2858</v>
      </c>
      <c r="S113" s="1">
        <v>0.28739999999999999</v>
      </c>
      <c r="T113" s="1">
        <v>0.33689999999999998</v>
      </c>
      <c r="U113" s="1">
        <v>0.25640000000000002</v>
      </c>
      <c r="V113" s="1">
        <v>0.26790000000000003</v>
      </c>
      <c r="W113" s="1">
        <v>0.2661</v>
      </c>
      <c r="X113" s="1">
        <f t="shared" si="14"/>
        <v>0.28069</v>
      </c>
      <c r="Y113" s="1">
        <f t="shared" si="13"/>
        <v>2.9459676276493676E-2</v>
      </c>
      <c r="Z113" s="1">
        <f t="shared" si="15"/>
        <v>10.495449170434885</v>
      </c>
      <c r="AA113" s="1">
        <f t="shared" si="16"/>
        <v>0.21149999999999999</v>
      </c>
      <c r="AB113" s="1">
        <f t="shared" si="17"/>
        <v>0.3427</v>
      </c>
    </row>
    <row r="114" spans="1:28">
      <c r="A114" t="s">
        <v>43</v>
      </c>
      <c r="B114" t="s">
        <v>35</v>
      </c>
      <c r="C114" t="s">
        <v>32</v>
      </c>
      <c r="D114" s="1">
        <v>0.37540000000000001</v>
      </c>
      <c r="E114" s="1">
        <v>0.39229999999999998</v>
      </c>
      <c r="F114" s="1">
        <v>0.41570000000000001</v>
      </c>
      <c r="G114" s="1">
        <v>0.36899999999999999</v>
      </c>
      <c r="H114" s="1">
        <v>0.40410000000000001</v>
      </c>
      <c r="I114" s="1">
        <v>0.37559999999999999</v>
      </c>
      <c r="J114" s="1">
        <v>0.36630000000000001</v>
      </c>
      <c r="K114" s="1">
        <v>0.36149999999999999</v>
      </c>
      <c r="L114" s="1">
        <v>0.3589</v>
      </c>
      <c r="M114" s="1">
        <v>0.40970000000000001</v>
      </c>
      <c r="N114" s="1">
        <v>0.42520000000000002</v>
      </c>
      <c r="O114" s="1">
        <v>0.39269999999999999</v>
      </c>
      <c r="P114" s="1">
        <v>0.39639999999999997</v>
      </c>
      <c r="Q114" s="1">
        <v>0.39650000000000002</v>
      </c>
      <c r="R114" s="1">
        <v>0.39229999999999998</v>
      </c>
      <c r="S114" s="1">
        <v>0.36770000000000003</v>
      </c>
      <c r="T114" s="1">
        <v>0.36620000000000003</v>
      </c>
      <c r="U114" s="1">
        <v>0.30919999999999997</v>
      </c>
      <c r="V114" s="1">
        <v>0.3604</v>
      </c>
      <c r="W114" s="1">
        <v>0.36890000000000001</v>
      </c>
      <c r="X114" s="1">
        <f t="shared" si="14"/>
        <v>0.38019999999999998</v>
      </c>
      <c r="Y114" s="1">
        <f t="shared" si="13"/>
        <v>2.593830737487866E-2</v>
      </c>
      <c r="Z114" s="1">
        <f t="shared" si="15"/>
        <v>6.8222796882900214</v>
      </c>
      <c r="AA114" s="1">
        <f t="shared" si="16"/>
        <v>0.30919999999999997</v>
      </c>
      <c r="AB114" s="1">
        <f t="shared" si="17"/>
        <v>0.42520000000000002</v>
      </c>
    </row>
    <row r="115" spans="1:28">
      <c r="A115" t="s">
        <v>43</v>
      </c>
      <c r="B115" t="s">
        <v>35</v>
      </c>
      <c r="C115" t="s">
        <v>33</v>
      </c>
      <c r="D115" s="1">
        <v>0.58450000000000002</v>
      </c>
      <c r="E115" s="1">
        <v>0.51829999999999998</v>
      </c>
      <c r="F115" s="1">
        <v>0.50270000000000004</v>
      </c>
      <c r="G115" s="1">
        <v>0.48099999999999998</v>
      </c>
      <c r="H115" s="1">
        <v>0.48209999999999997</v>
      </c>
      <c r="I115" s="1">
        <v>0.51639999999999997</v>
      </c>
      <c r="J115" s="1">
        <v>0.53710000000000002</v>
      </c>
      <c r="K115" s="1">
        <v>0.58720000000000006</v>
      </c>
      <c r="L115" s="1">
        <v>0.46579999999999999</v>
      </c>
      <c r="M115" s="1">
        <v>0.52229999999999999</v>
      </c>
      <c r="N115" s="1">
        <v>0.46750000000000003</v>
      </c>
      <c r="O115" s="1">
        <v>0.47689999999999999</v>
      </c>
      <c r="P115" s="1">
        <v>0.49440000000000001</v>
      </c>
      <c r="Q115" s="1">
        <v>0.49540000000000001</v>
      </c>
      <c r="R115" s="1">
        <v>0.53510000000000002</v>
      </c>
      <c r="S115" s="1">
        <v>0.54190000000000005</v>
      </c>
      <c r="T115" s="1">
        <v>0.50209999999999999</v>
      </c>
      <c r="U115" s="1">
        <v>0.47510000000000002</v>
      </c>
      <c r="V115" s="1">
        <v>0.52769999999999995</v>
      </c>
      <c r="W115" s="1">
        <v>0.44180000000000003</v>
      </c>
      <c r="X115" s="1">
        <f t="shared" si="14"/>
        <v>0.50776500000000002</v>
      </c>
      <c r="Y115" s="1">
        <f t="shared" si="13"/>
        <v>3.7893913898227986E-2</v>
      </c>
      <c r="Z115" s="1">
        <f t="shared" si="15"/>
        <v>7.4628841882028079</v>
      </c>
      <c r="AA115" s="1">
        <f t="shared" si="16"/>
        <v>0.44180000000000003</v>
      </c>
      <c r="AB115" s="1">
        <f t="shared" si="17"/>
        <v>0.58720000000000006</v>
      </c>
    </row>
    <row r="116" spans="1:28">
      <c r="A116" t="s">
        <v>43</v>
      </c>
      <c r="B116" t="s">
        <v>35</v>
      </c>
      <c r="C116" t="s">
        <v>34</v>
      </c>
      <c r="D116" s="1">
        <v>0.59609999999999996</v>
      </c>
      <c r="E116" s="1">
        <v>0.54279999999999995</v>
      </c>
      <c r="F116" s="1">
        <v>0.55379999999999996</v>
      </c>
      <c r="G116" s="1">
        <v>0.6452</v>
      </c>
      <c r="H116" s="1">
        <v>0.73370000000000002</v>
      </c>
      <c r="I116" s="1">
        <v>0.60289999999999999</v>
      </c>
      <c r="J116" s="1">
        <v>0.71730000000000005</v>
      </c>
      <c r="K116" s="1">
        <v>0.62819999999999998</v>
      </c>
      <c r="L116" s="1">
        <v>0.6139</v>
      </c>
      <c r="M116" s="1">
        <v>0.51249999999999996</v>
      </c>
      <c r="N116" s="1">
        <v>0.58450000000000002</v>
      </c>
      <c r="O116" s="1">
        <v>0.60499999999999998</v>
      </c>
      <c r="P116" s="1">
        <v>0.57630000000000003</v>
      </c>
      <c r="Q116" s="1">
        <v>0.61029999999999995</v>
      </c>
      <c r="R116" s="1">
        <v>0.59689999999999999</v>
      </c>
      <c r="S116" s="1">
        <v>0.60840000000000005</v>
      </c>
      <c r="T116" s="1">
        <v>0.59930000000000005</v>
      </c>
      <c r="U116" s="1">
        <v>0.68189999999999995</v>
      </c>
      <c r="V116" s="1">
        <v>0.6431</v>
      </c>
      <c r="W116" s="1">
        <v>0.54169999999999996</v>
      </c>
      <c r="X116" s="1">
        <f t="shared" si="14"/>
        <v>0.60969000000000007</v>
      </c>
      <c r="Y116" s="1">
        <f t="shared" si="13"/>
        <v>5.565518749170506E-2</v>
      </c>
      <c r="Z116" s="1">
        <f t="shared" si="15"/>
        <v>9.1284402715650668</v>
      </c>
      <c r="AA116" s="1">
        <f t="shared" si="16"/>
        <v>0.51249999999999996</v>
      </c>
      <c r="AB116" s="1">
        <f t="shared" si="17"/>
        <v>0.73370000000000002</v>
      </c>
    </row>
    <row r="117" spans="1:28">
      <c r="A117" t="s">
        <v>43</v>
      </c>
      <c r="B117" t="s">
        <v>36</v>
      </c>
      <c r="C117" t="s">
        <v>30</v>
      </c>
      <c r="D117" s="1">
        <v>0.13880000000000001</v>
      </c>
      <c r="E117" s="1">
        <v>0.15</v>
      </c>
      <c r="F117" s="1">
        <v>0.1431</v>
      </c>
      <c r="G117" s="1">
        <v>0.17780000000000001</v>
      </c>
      <c r="H117" s="1">
        <v>0.12770000000000001</v>
      </c>
      <c r="I117" s="1">
        <v>0.13600000000000001</v>
      </c>
      <c r="J117" s="1">
        <v>0.15160000000000001</v>
      </c>
      <c r="K117" s="1">
        <v>0.1696</v>
      </c>
      <c r="L117" s="1">
        <v>0.13980000000000001</v>
      </c>
      <c r="M117" s="1">
        <v>0.13039999999999999</v>
      </c>
      <c r="N117" s="1">
        <v>0.16420000000000001</v>
      </c>
      <c r="O117" s="1">
        <v>0.15310000000000001</v>
      </c>
      <c r="P117" s="1">
        <v>0.17469999999999999</v>
      </c>
      <c r="Q117" s="1">
        <v>0.16919999999999999</v>
      </c>
      <c r="R117" s="1">
        <v>0.14849999999999999</v>
      </c>
      <c r="S117" s="1">
        <v>0.1363</v>
      </c>
      <c r="T117" s="1">
        <v>0.14369999999999999</v>
      </c>
      <c r="U117" s="1">
        <v>0.14499999999999999</v>
      </c>
      <c r="V117" s="1">
        <v>0.1386</v>
      </c>
      <c r="W117" s="1">
        <v>0.15970000000000001</v>
      </c>
      <c r="X117" s="1">
        <f t="shared" si="14"/>
        <v>0.14988999999999997</v>
      </c>
      <c r="Y117" s="1">
        <f t="shared" si="13"/>
        <v>1.4836863762796689E-2</v>
      </c>
      <c r="Z117" s="1">
        <f t="shared" si="15"/>
        <v>9.8985014095648101</v>
      </c>
      <c r="AA117" s="1">
        <f t="shared" si="16"/>
        <v>0.12770000000000001</v>
      </c>
      <c r="AB117" s="1">
        <f t="shared" si="17"/>
        <v>0.17780000000000001</v>
      </c>
    </row>
    <row r="118" spans="1:28">
      <c r="A118" t="s">
        <v>43</v>
      </c>
      <c r="B118" t="s">
        <v>36</v>
      </c>
      <c r="C118" t="s">
        <v>31</v>
      </c>
      <c r="D118" s="1">
        <v>0.24410000000000001</v>
      </c>
      <c r="E118" s="1">
        <v>0.24360000000000001</v>
      </c>
      <c r="F118" s="1">
        <v>0.23280000000000001</v>
      </c>
      <c r="G118" s="1">
        <v>0.2389</v>
      </c>
      <c r="H118" s="1">
        <v>0.2402</v>
      </c>
      <c r="I118" s="1">
        <v>0.2422</v>
      </c>
      <c r="J118" s="1">
        <v>0.2452</v>
      </c>
      <c r="K118" s="1">
        <v>0.24010000000000001</v>
      </c>
      <c r="L118" s="1">
        <v>0.24110000000000001</v>
      </c>
      <c r="M118" s="1">
        <v>0.24779999999999999</v>
      </c>
      <c r="N118" s="1">
        <v>0.23899999999999999</v>
      </c>
      <c r="O118" s="1">
        <v>0.25209999999999999</v>
      </c>
      <c r="P118" s="1">
        <v>0.23599999999999999</v>
      </c>
      <c r="Q118" s="1">
        <v>0.24010000000000001</v>
      </c>
      <c r="R118" s="1">
        <v>0.23250000000000001</v>
      </c>
      <c r="S118" s="1">
        <v>0.23749999999999999</v>
      </c>
      <c r="T118" s="1">
        <v>0.23150000000000001</v>
      </c>
      <c r="U118" s="1">
        <v>0.2407</v>
      </c>
      <c r="V118" s="1">
        <v>0.23200000000000001</v>
      </c>
      <c r="W118" s="1">
        <v>0.24049999999999999</v>
      </c>
      <c r="X118" s="1">
        <f t="shared" si="14"/>
        <v>0.23989499999999997</v>
      </c>
      <c r="Y118" s="1">
        <f t="shared" si="13"/>
        <v>5.3286193531276258E-3</v>
      </c>
      <c r="Z118" s="1">
        <f t="shared" si="15"/>
        <v>2.221229851863368</v>
      </c>
      <c r="AA118" s="1">
        <f t="shared" si="16"/>
        <v>0.23150000000000001</v>
      </c>
      <c r="AB118" s="1">
        <f t="shared" si="17"/>
        <v>0.25209999999999999</v>
      </c>
    </row>
    <row r="119" spans="1:28">
      <c r="A119" t="s">
        <v>43</v>
      </c>
      <c r="B119" t="s">
        <v>36</v>
      </c>
      <c r="C119" t="s">
        <v>32</v>
      </c>
      <c r="D119" s="1">
        <v>0.32619999999999999</v>
      </c>
      <c r="E119" s="1">
        <v>0.3342</v>
      </c>
      <c r="F119" s="1">
        <v>0.33839999999999998</v>
      </c>
      <c r="G119" s="1">
        <v>0.34989999999999999</v>
      </c>
      <c r="H119" s="1">
        <v>0.32929999999999998</v>
      </c>
      <c r="I119" s="1">
        <v>0.33</v>
      </c>
      <c r="J119" s="1">
        <v>0.31730000000000003</v>
      </c>
      <c r="K119" s="1">
        <v>0.35089999999999999</v>
      </c>
      <c r="L119" s="1">
        <v>0.3322</v>
      </c>
      <c r="M119" s="1">
        <v>0.33500000000000002</v>
      </c>
      <c r="N119" s="1">
        <v>0.30990000000000001</v>
      </c>
      <c r="O119" s="1">
        <v>0.32550000000000001</v>
      </c>
      <c r="P119" s="1">
        <v>0.34029999999999999</v>
      </c>
      <c r="Q119" s="1">
        <v>0.309</v>
      </c>
      <c r="R119" s="1">
        <v>0.32929999999999998</v>
      </c>
      <c r="S119" s="1">
        <v>0.35199999999999998</v>
      </c>
      <c r="T119" s="1">
        <v>0.33260000000000001</v>
      </c>
      <c r="U119" s="1">
        <v>0.32250000000000001</v>
      </c>
      <c r="V119" s="1">
        <v>0.30409999999999998</v>
      </c>
      <c r="W119" s="1">
        <v>0.33729999999999999</v>
      </c>
      <c r="X119" s="1">
        <f t="shared" si="14"/>
        <v>0.33029499999999995</v>
      </c>
      <c r="Y119" s="1">
        <f t="shared" si="13"/>
        <v>1.3314593299715991E-2</v>
      </c>
      <c r="Z119" s="1">
        <f t="shared" si="15"/>
        <v>4.0311216638810734</v>
      </c>
      <c r="AA119" s="1">
        <f t="shared" si="16"/>
        <v>0.30409999999999998</v>
      </c>
      <c r="AB119" s="1">
        <f t="shared" si="17"/>
        <v>0.35199999999999998</v>
      </c>
    </row>
    <row r="120" spans="1:28">
      <c r="A120" t="s">
        <v>43</v>
      </c>
      <c r="B120" t="s">
        <v>36</v>
      </c>
      <c r="C120" t="s">
        <v>33</v>
      </c>
      <c r="D120" s="1">
        <v>0.44440000000000002</v>
      </c>
      <c r="E120" s="1">
        <v>0.45429999999999998</v>
      </c>
      <c r="F120" s="1">
        <v>0.40639999999999998</v>
      </c>
      <c r="G120" s="1">
        <v>0.42359999999999998</v>
      </c>
      <c r="H120" s="1">
        <v>0.40289999999999998</v>
      </c>
      <c r="I120" s="1">
        <v>0.4466</v>
      </c>
      <c r="J120" s="1">
        <v>0.46050000000000002</v>
      </c>
      <c r="K120" s="1">
        <v>0.39650000000000002</v>
      </c>
      <c r="L120" s="1">
        <v>0.48680000000000001</v>
      </c>
      <c r="M120" s="1">
        <v>0.47299999999999998</v>
      </c>
      <c r="N120" s="1">
        <v>0.40329999999999999</v>
      </c>
      <c r="O120" s="1">
        <v>0.45850000000000002</v>
      </c>
      <c r="P120" s="1">
        <v>0.4713</v>
      </c>
      <c r="Q120" s="1">
        <v>0.4325</v>
      </c>
      <c r="R120" s="1">
        <v>0.47570000000000001</v>
      </c>
      <c r="S120" s="1">
        <v>0.42759999999999998</v>
      </c>
      <c r="T120" s="1">
        <v>0.43169999999999997</v>
      </c>
      <c r="U120" s="1">
        <v>0.42530000000000001</v>
      </c>
      <c r="V120" s="1">
        <v>0.43790000000000001</v>
      </c>
      <c r="W120" s="1">
        <v>0.4556</v>
      </c>
      <c r="X120" s="1">
        <f t="shared" si="14"/>
        <v>0.44072000000000006</v>
      </c>
      <c r="Y120" s="1">
        <f t="shared" si="13"/>
        <v>2.6466654293160752E-2</v>
      </c>
      <c r="Z120" s="1">
        <f t="shared" si="15"/>
        <v>6.0053218127520305</v>
      </c>
      <c r="AA120" s="1">
        <f t="shared" si="16"/>
        <v>0.39650000000000002</v>
      </c>
      <c r="AB120" s="1">
        <f t="shared" si="17"/>
        <v>0.48680000000000001</v>
      </c>
    </row>
    <row r="121" spans="1:28">
      <c r="A121" t="s">
        <v>43</v>
      </c>
      <c r="B121" t="s">
        <v>36</v>
      </c>
      <c r="C121" t="s">
        <v>34</v>
      </c>
      <c r="D121" s="1">
        <v>0.51700000000000002</v>
      </c>
      <c r="E121" s="1">
        <v>0.51749999999999996</v>
      </c>
      <c r="F121" s="1">
        <v>0.53149999999999997</v>
      </c>
      <c r="G121" s="1">
        <v>0.52400000000000002</v>
      </c>
      <c r="H121" s="1">
        <v>0.54949999999999999</v>
      </c>
      <c r="I121" s="1">
        <v>0.52790000000000004</v>
      </c>
      <c r="J121" s="1">
        <v>0.51890000000000003</v>
      </c>
      <c r="K121" s="1">
        <v>0.54379999999999995</v>
      </c>
      <c r="L121" s="1">
        <v>0.56220000000000003</v>
      </c>
      <c r="M121" s="1">
        <v>0.54410000000000003</v>
      </c>
      <c r="N121" s="1">
        <v>0.49430000000000002</v>
      </c>
      <c r="O121" s="1">
        <v>0.54220000000000002</v>
      </c>
      <c r="P121" s="1">
        <v>0.49830000000000002</v>
      </c>
      <c r="Q121" s="1">
        <v>0.56589999999999996</v>
      </c>
      <c r="R121" s="1">
        <v>0.51370000000000005</v>
      </c>
      <c r="S121" s="1">
        <v>0.54830000000000001</v>
      </c>
      <c r="T121" s="1">
        <v>0.52449999999999997</v>
      </c>
      <c r="U121" s="1">
        <v>0.51800000000000002</v>
      </c>
      <c r="V121" s="1">
        <v>0.52200000000000002</v>
      </c>
      <c r="W121" s="1">
        <v>0.52259999999999995</v>
      </c>
      <c r="X121" s="1">
        <f t="shared" si="14"/>
        <v>0.52931000000000006</v>
      </c>
      <c r="Y121" s="1">
        <f t="shared" si="13"/>
        <v>1.9054710703655404E-2</v>
      </c>
      <c r="Z121" s="1">
        <f t="shared" si="15"/>
        <v>3.5999151165962107</v>
      </c>
      <c r="AA121" s="1">
        <f t="shared" si="16"/>
        <v>0.49430000000000002</v>
      </c>
      <c r="AB121" s="1">
        <f t="shared" si="17"/>
        <v>0.56589999999999996</v>
      </c>
    </row>
    <row r="122" spans="1:28">
      <c r="A122" t="s">
        <v>43</v>
      </c>
      <c r="B122" t="s">
        <v>37</v>
      </c>
      <c r="C122" t="s">
        <v>30</v>
      </c>
      <c r="D122" s="1">
        <v>0.1404</v>
      </c>
      <c r="E122" s="1">
        <v>0.12690000000000001</v>
      </c>
      <c r="F122" s="1">
        <v>0.14230000000000001</v>
      </c>
      <c r="G122" s="1">
        <v>0.1353</v>
      </c>
      <c r="H122" s="1">
        <v>0.14480000000000001</v>
      </c>
      <c r="I122" s="1">
        <v>0.15060000000000001</v>
      </c>
      <c r="J122" s="1">
        <v>0.1565</v>
      </c>
      <c r="K122" s="1">
        <v>0.14499999999999999</v>
      </c>
      <c r="L122" s="1">
        <v>0.13</v>
      </c>
      <c r="M122" s="1">
        <v>0.14069999999999999</v>
      </c>
      <c r="N122" s="1">
        <v>0.13350000000000001</v>
      </c>
      <c r="O122" s="1">
        <v>0.13220000000000001</v>
      </c>
      <c r="P122" s="1">
        <v>0.13830000000000001</v>
      </c>
      <c r="Q122" s="1">
        <v>0.14000000000000001</v>
      </c>
      <c r="R122" s="1">
        <v>0.1348</v>
      </c>
      <c r="S122" s="1">
        <v>0.1421</v>
      </c>
      <c r="T122" s="1">
        <v>0.14280000000000001</v>
      </c>
      <c r="U122" s="1">
        <v>0.1414</v>
      </c>
      <c r="V122" s="1">
        <v>0.1401</v>
      </c>
      <c r="W122" s="1">
        <v>0.14099999999999999</v>
      </c>
      <c r="X122" s="1">
        <f t="shared" si="14"/>
        <v>0.13993499999999998</v>
      </c>
      <c r="Y122" s="1">
        <f t="shared" si="13"/>
        <v>6.8072929158443912E-3</v>
      </c>
      <c r="Z122" s="1">
        <f t="shared" si="15"/>
        <v>4.8646106519772703</v>
      </c>
      <c r="AA122" s="1">
        <f t="shared" si="16"/>
        <v>0.12690000000000001</v>
      </c>
      <c r="AB122" s="1">
        <f t="shared" si="17"/>
        <v>0.1565</v>
      </c>
    </row>
    <row r="123" spans="1:28">
      <c r="A123" t="s">
        <v>43</v>
      </c>
      <c r="B123" t="s">
        <v>37</v>
      </c>
      <c r="C123" t="s">
        <v>31</v>
      </c>
      <c r="D123" s="1">
        <v>0.21279999999999999</v>
      </c>
      <c r="E123" s="1">
        <v>0.21879999999999999</v>
      </c>
      <c r="F123" s="1">
        <v>0.20649999999999999</v>
      </c>
      <c r="G123" s="1">
        <v>0.15179999999999999</v>
      </c>
      <c r="H123" s="1">
        <v>0.27529999999999999</v>
      </c>
      <c r="I123" s="1">
        <v>0.19719999999999999</v>
      </c>
      <c r="J123" s="1">
        <v>0.2361</v>
      </c>
      <c r="K123" s="1">
        <v>0.24</v>
      </c>
      <c r="L123" s="1">
        <v>0.20080000000000001</v>
      </c>
      <c r="M123" s="1">
        <v>0.25190000000000001</v>
      </c>
      <c r="N123" s="1">
        <v>0.22109999999999999</v>
      </c>
      <c r="O123" s="1">
        <v>0.222</v>
      </c>
      <c r="P123" s="1">
        <v>0.24310000000000001</v>
      </c>
      <c r="Q123" s="1">
        <v>0.2369</v>
      </c>
      <c r="R123" s="1">
        <v>0.2084</v>
      </c>
      <c r="S123" s="1">
        <v>0.22969999999999999</v>
      </c>
      <c r="T123" s="1">
        <v>0.21199999999999999</v>
      </c>
      <c r="U123" s="1">
        <v>0.2069</v>
      </c>
      <c r="V123" s="1">
        <v>0.191</v>
      </c>
      <c r="W123" s="1">
        <v>0.21909999999999999</v>
      </c>
      <c r="X123" s="1">
        <f t="shared" si="14"/>
        <v>0.21907000000000001</v>
      </c>
      <c r="Y123" s="1">
        <f t="shared" si="13"/>
        <v>2.5775714804524938E-2</v>
      </c>
      <c r="Z123" s="1">
        <f t="shared" si="15"/>
        <v>11.765971974494423</v>
      </c>
      <c r="AA123" s="1">
        <f t="shared" si="16"/>
        <v>0.15179999999999999</v>
      </c>
      <c r="AB123" s="1">
        <f t="shared" si="17"/>
        <v>0.27529999999999999</v>
      </c>
    </row>
    <row r="124" spans="1:28">
      <c r="A124" t="s">
        <v>43</v>
      </c>
      <c r="B124" t="s">
        <v>37</v>
      </c>
      <c r="C124" t="s">
        <v>32</v>
      </c>
      <c r="D124" s="1">
        <v>0.27789999999999998</v>
      </c>
      <c r="E124" s="1">
        <v>0.318</v>
      </c>
      <c r="F124" s="1">
        <v>0.2646</v>
      </c>
      <c r="G124" s="1">
        <v>0.27139999999999997</v>
      </c>
      <c r="H124" s="1">
        <v>0.29399999999999998</v>
      </c>
      <c r="I124" s="1">
        <v>0.3145</v>
      </c>
      <c r="J124" s="1">
        <v>0.3407</v>
      </c>
      <c r="K124" s="1">
        <v>0.35809999999999997</v>
      </c>
      <c r="L124" s="1">
        <v>0.32929999999999998</v>
      </c>
      <c r="M124" s="1">
        <v>0.28110000000000002</v>
      </c>
      <c r="N124" s="1">
        <v>0.27960000000000002</v>
      </c>
      <c r="O124" s="1">
        <v>0.30809999999999998</v>
      </c>
      <c r="P124" s="1">
        <v>0.31040000000000001</v>
      </c>
      <c r="Q124" s="1">
        <v>0.3009</v>
      </c>
      <c r="R124" s="1">
        <v>0.312</v>
      </c>
      <c r="S124" s="1">
        <v>0.28439999999999999</v>
      </c>
      <c r="T124" s="1">
        <v>0.27610000000000001</v>
      </c>
      <c r="U124" s="1">
        <v>0.311</v>
      </c>
      <c r="V124" s="1">
        <v>0.32569999999999999</v>
      </c>
      <c r="W124" s="1">
        <v>0.26340000000000002</v>
      </c>
      <c r="X124" s="1">
        <f t="shared" si="14"/>
        <v>0.30105999999999999</v>
      </c>
      <c r="Y124" s="1">
        <f t="shared" si="13"/>
        <v>2.6183027849513905E-2</v>
      </c>
      <c r="Z124" s="1">
        <f t="shared" si="15"/>
        <v>8.6969467380302614</v>
      </c>
      <c r="AA124" s="1">
        <f t="shared" si="16"/>
        <v>0.26340000000000002</v>
      </c>
      <c r="AB124" s="1">
        <f t="shared" si="17"/>
        <v>0.35809999999999997</v>
      </c>
    </row>
    <row r="125" spans="1:28">
      <c r="A125" t="s">
        <v>43</v>
      </c>
      <c r="B125" t="s">
        <v>37</v>
      </c>
      <c r="C125" t="s">
        <v>33</v>
      </c>
      <c r="D125" s="1">
        <v>0.43209999999999998</v>
      </c>
      <c r="E125" s="1">
        <v>0.38150000000000001</v>
      </c>
      <c r="F125" s="1">
        <v>0.52080000000000004</v>
      </c>
      <c r="G125" s="1">
        <v>0.43609999999999999</v>
      </c>
      <c r="H125" s="1">
        <v>0.43020000000000003</v>
      </c>
      <c r="I125" s="1">
        <v>0.49609999999999999</v>
      </c>
      <c r="J125" s="1">
        <v>0.41589999999999999</v>
      </c>
      <c r="K125" s="1">
        <v>0.48449999999999999</v>
      </c>
      <c r="L125" s="1">
        <v>0.32719999999999999</v>
      </c>
      <c r="M125" s="1">
        <v>0.40639999999999998</v>
      </c>
      <c r="N125" s="1">
        <v>0.3306</v>
      </c>
      <c r="O125" s="1">
        <v>0.35249999999999998</v>
      </c>
      <c r="P125" s="1">
        <v>0.43409999999999999</v>
      </c>
      <c r="Q125" s="1">
        <v>0.42370000000000002</v>
      </c>
      <c r="R125" s="1">
        <v>0.3231</v>
      </c>
      <c r="S125" s="1">
        <v>0.37669999999999998</v>
      </c>
      <c r="T125" s="1">
        <v>0.3493</v>
      </c>
      <c r="U125" s="1">
        <v>0.45619999999999999</v>
      </c>
      <c r="V125" s="1">
        <v>0.41749999999999998</v>
      </c>
      <c r="W125" s="1">
        <v>0.3518</v>
      </c>
      <c r="X125" s="1">
        <f t="shared" si="14"/>
        <v>0.40731500000000009</v>
      </c>
      <c r="Y125" s="1">
        <f t="shared" si="13"/>
        <v>5.744171668560577E-2</v>
      </c>
      <c r="Z125" s="1">
        <f t="shared" si="15"/>
        <v>14.102529169219341</v>
      </c>
      <c r="AA125" s="1">
        <f t="shared" si="16"/>
        <v>0.3231</v>
      </c>
      <c r="AB125" s="1">
        <f t="shared" si="17"/>
        <v>0.52080000000000004</v>
      </c>
    </row>
    <row r="126" spans="1:28">
      <c r="A126" t="s">
        <v>43</v>
      </c>
      <c r="B126" t="s">
        <v>37</v>
      </c>
      <c r="C126" t="s">
        <v>34</v>
      </c>
      <c r="D126" s="1">
        <v>0.50739999999999996</v>
      </c>
      <c r="E126" s="1">
        <v>0.48670000000000002</v>
      </c>
      <c r="F126" s="1">
        <v>0.48880000000000001</v>
      </c>
      <c r="G126" s="1">
        <v>0.39190000000000003</v>
      </c>
      <c r="H126" s="1">
        <v>0.45700000000000002</v>
      </c>
      <c r="I126" s="1">
        <v>0.40629999999999999</v>
      </c>
      <c r="J126" s="1">
        <v>0.41489999999999999</v>
      </c>
      <c r="K126" s="1">
        <v>0.46239999999999998</v>
      </c>
      <c r="L126" s="1">
        <v>0.51890000000000003</v>
      </c>
      <c r="M126" s="1">
        <v>0.46820000000000001</v>
      </c>
      <c r="N126" s="1">
        <v>0.5494</v>
      </c>
      <c r="O126" s="1">
        <v>0.55310000000000004</v>
      </c>
      <c r="P126" s="1">
        <v>0.55359999999999998</v>
      </c>
      <c r="Q126" s="1">
        <v>0.502</v>
      </c>
      <c r="R126" s="1">
        <v>0.51719999999999999</v>
      </c>
      <c r="S126" s="1">
        <v>0.45050000000000001</v>
      </c>
      <c r="T126" s="1">
        <v>0.37119999999999997</v>
      </c>
      <c r="U126" s="1">
        <v>0.4572</v>
      </c>
      <c r="V126" s="1">
        <v>0.46289999999999998</v>
      </c>
      <c r="W126" s="1">
        <v>0.58340000000000003</v>
      </c>
      <c r="X126" s="1">
        <f t="shared" si="14"/>
        <v>0.48014999999999991</v>
      </c>
      <c r="Y126" s="1">
        <f t="shared" si="13"/>
        <v>5.733164369195394E-2</v>
      </c>
      <c r="Z126" s="1">
        <f t="shared" si="15"/>
        <v>11.940361072988431</v>
      </c>
      <c r="AA126" s="1">
        <f t="shared" si="16"/>
        <v>0.37119999999999997</v>
      </c>
      <c r="AB126" s="1">
        <f t="shared" si="17"/>
        <v>0.58340000000000003</v>
      </c>
    </row>
    <row r="127" spans="1:28">
      <c r="A127" t="s">
        <v>43</v>
      </c>
      <c r="B127" t="s">
        <v>38</v>
      </c>
      <c r="C127" t="s">
        <v>30</v>
      </c>
      <c r="D127" s="1">
        <v>0.1173</v>
      </c>
      <c r="E127" s="1">
        <v>0.1113</v>
      </c>
      <c r="F127" s="1">
        <v>0.12970000000000001</v>
      </c>
      <c r="G127" s="1">
        <v>0.1186</v>
      </c>
      <c r="H127" s="1">
        <v>0.1237</v>
      </c>
      <c r="I127" s="1">
        <v>0.10970000000000001</v>
      </c>
      <c r="J127" s="1">
        <v>0.12379999999999999</v>
      </c>
      <c r="K127" s="1">
        <v>0.11650000000000001</v>
      </c>
      <c r="L127" s="1">
        <v>0.12540000000000001</v>
      </c>
      <c r="M127" s="1">
        <v>0.1091</v>
      </c>
      <c r="N127" s="1">
        <v>0.12659999999999999</v>
      </c>
      <c r="O127" s="1">
        <v>0.126</v>
      </c>
      <c r="P127" s="1">
        <v>0.11260000000000001</v>
      </c>
      <c r="Q127" s="1">
        <v>0.123</v>
      </c>
      <c r="R127" s="1">
        <v>0.12180000000000001</v>
      </c>
      <c r="S127" s="1">
        <v>0.12089999999999999</v>
      </c>
      <c r="T127" s="1">
        <v>0.1273</v>
      </c>
      <c r="U127" s="1">
        <v>0.1174</v>
      </c>
      <c r="V127" s="1">
        <v>0.1163</v>
      </c>
      <c r="W127" s="1">
        <v>0.1197</v>
      </c>
      <c r="X127" s="1">
        <f t="shared" si="14"/>
        <v>0.11983499999999998</v>
      </c>
      <c r="Y127" s="1">
        <f t="shared" si="13"/>
        <v>6.04424693842265E-3</v>
      </c>
      <c r="Z127" s="1">
        <f t="shared" si="15"/>
        <v>5.0438076842513881</v>
      </c>
      <c r="AA127" s="1">
        <f t="shared" si="16"/>
        <v>0.1091</v>
      </c>
      <c r="AB127" s="1">
        <f t="shared" si="17"/>
        <v>0.12970000000000001</v>
      </c>
    </row>
    <row r="128" spans="1:28">
      <c r="A128" t="s">
        <v>43</v>
      </c>
      <c r="B128" t="s">
        <v>38</v>
      </c>
      <c r="C128" t="s">
        <v>31</v>
      </c>
      <c r="D128" s="1">
        <v>0.18820000000000001</v>
      </c>
      <c r="E128" s="1">
        <v>0.19800000000000001</v>
      </c>
      <c r="F128" s="1">
        <v>0.18140000000000001</v>
      </c>
      <c r="G128" s="1">
        <v>0.188</v>
      </c>
      <c r="H128" s="1">
        <v>0.18659999999999999</v>
      </c>
      <c r="I128" s="1">
        <v>0.18559999999999999</v>
      </c>
      <c r="J128" s="1">
        <v>0.1905</v>
      </c>
      <c r="K128" s="1">
        <v>0.19040000000000001</v>
      </c>
      <c r="L128" s="1">
        <v>0.19400000000000001</v>
      </c>
      <c r="M128" s="1">
        <v>0.17860000000000001</v>
      </c>
      <c r="N128" s="1">
        <v>0.20830000000000001</v>
      </c>
      <c r="O128" s="1">
        <v>0.17960000000000001</v>
      </c>
      <c r="P128" s="1">
        <v>0.19289999999999999</v>
      </c>
      <c r="Q128" s="1">
        <v>0.1903</v>
      </c>
      <c r="R128" s="1">
        <v>0.19350000000000001</v>
      </c>
      <c r="S128" s="1">
        <v>0.1837</v>
      </c>
      <c r="T128" s="1">
        <v>0.19009999999999999</v>
      </c>
      <c r="U128" s="1">
        <v>0.2102</v>
      </c>
      <c r="V128" s="1">
        <v>0.18410000000000001</v>
      </c>
      <c r="W128" s="1">
        <v>0.18679999999999999</v>
      </c>
      <c r="X128" s="1">
        <f t="shared" si="14"/>
        <v>0.19004000000000001</v>
      </c>
      <c r="Y128" s="1">
        <f t="shared" si="13"/>
        <v>8.2047739633382775E-3</v>
      </c>
      <c r="Z128" s="1">
        <f t="shared" si="15"/>
        <v>4.3173931610914948</v>
      </c>
      <c r="AA128" s="1">
        <f t="shared" si="16"/>
        <v>0.17860000000000001</v>
      </c>
      <c r="AB128" s="1">
        <f t="shared" si="17"/>
        <v>0.2102</v>
      </c>
    </row>
    <row r="129" spans="1:28">
      <c r="A129" t="s">
        <v>43</v>
      </c>
      <c r="B129" t="s">
        <v>38</v>
      </c>
      <c r="C129" t="s">
        <v>32</v>
      </c>
      <c r="D129" s="1">
        <v>0.24399999999999999</v>
      </c>
      <c r="E129" s="1">
        <v>0.25430000000000003</v>
      </c>
      <c r="F129" s="1">
        <v>0.2671</v>
      </c>
      <c r="G129" s="1">
        <v>0.30399999999999999</v>
      </c>
      <c r="H129" s="1">
        <v>0.24179999999999999</v>
      </c>
      <c r="I129" s="1">
        <v>0.183</v>
      </c>
      <c r="J129" s="1">
        <v>0.31909999999999999</v>
      </c>
      <c r="K129" s="1">
        <v>0.25719999999999998</v>
      </c>
      <c r="L129" s="1">
        <v>0.2666</v>
      </c>
      <c r="M129" s="1">
        <v>0.26600000000000001</v>
      </c>
      <c r="N129" s="1">
        <v>0.26569999999999999</v>
      </c>
      <c r="O129" s="1">
        <v>0.29260000000000003</v>
      </c>
      <c r="P129" s="1">
        <v>0.2843</v>
      </c>
      <c r="Q129" s="1">
        <v>0.24629999999999999</v>
      </c>
      <c r="R129" s="1">
        <v>0.2447</v>
      </c>
      <c r="S129" s="1">
        <v>0.34470000000000001</v>
      </c>
      <c r="T129" s="1">
        <v>0.31319999999999998</v>
      </c>
      <c r="U129" s="1">
        <v>0.25790000000000002</v>
      </c>
      <c r="V129" s="1">
        <v>0.28079999999999999</v>
      </c>
      <c r="W129" s="1">
        <v>0.27129999999999999</v>
      </c>
      <c r="X129" s="1">
        <f t="shared" si="14"/>
        <v>0.27023000000000003</v>
      </c>
      <c r="Y129" s="1">
        <f t="shared" si="13"/>
        <v>3.4564114338428951E-2</v>
      </c>
      <c r="Z129" s="1">
        <f t="shared" si="15"/>
        <v>12.790628108806922</v>
      </c>
      <c r="AA129" s="1">
        <f t="shared" si="16"/>
        <v>0.183</v>
      </c>
      <c r="AB129" s="1">
        <f t="shared" si="17"/>
        <v>0.34470000000000001</v>
      </c>
    </row>
    <row r="130" spans="1:28">
      <c r="A130" t="s">
        <v>43</v>
      </c>
      <c r="B130" t="s">
        <v>38</v>
      </c>
      <c r="C130" t="s">
        <v>33</v>
      </c>
      <c r="D130" s="1">
        <v>0.4017</v>
      </c>
      <c r="E130" s="1">
        <v>0.3599</v>
      </c>
      <c r="F130" s="1">
        <v>0.3921</v>
      </c>
      <c r="G130" s="1">
        <v>0.3367</v>
      </c>
      <c r="H130" s="1">
        <v>0.39579999999999999</v>
      </c>
      <c r="I130" s="1">
        <v>0.30080000000000001</v>
      </c>
      <c r="J130" s="1">
        <v>0.46189999999999998</v>
      </c>
      <c r="K130" s="1">
        <v>0.33710000000000001</v>
      </c>
      <c r="L130" s="1">
        <v>0.2752</v>
      </c>
      <c r="M130" s="1">
        <v>0.33410000000000001</v>
      </c>
      <c r="N130" s="1">
        <v>0.33300000000000002</v>
      </c>
      <c r="O130" s="1">
        <v>0.3674</v>
      </c>
      <c r="P130" s="1">
        <v>0.3911</v>
      </c>
      <c r="Q130" s="1">
        <v>0.3332</v>
      </c>
      <c r="R130" s="1">
        <v>0.3589</v>
      </c>
      <c r="S130" s="1">
        <v>0.37219999999999998</v>
      </c>
      <c r="T130" s="1">
        <v>0.37559999999999999</v>
      </c>
      <c r="U130" s="1">
        <v>0.39960000000000001</v>
      </c>
      <c r="V130" s="1">
        <v>0.3085</v>
      </c>
      <c r="W130" s="1">
        <v>0.33600000000000002</v>
      </c>
      <c r="X130" s="1">
        <f t="shared" ref="X130:X161" si="18">AVERAGE(D130:W130)</f>
        <v>0.35854000000000008</v>
      </c>
      <c r="Y130" s="1">
        <f t="shared" si="13"/>
        <v>4.2602661147421783E-2</v>
      </c>
      <c r="Z130" s="1">
        <f t="shared" ref="Z130:Z161" si="19">IFERROR(Y130/X130*100,"")</f>
        <v>11.88226171345506</v>
      </c>
      <c r="AA130" s="1">
        <f t="shared" ref="AA130:AA161" si="20">MIN(D130:W130)</f>
        <v>0.2752</v>
      </c>
      <c r="AB130" s="1">
        <f t="shared" ref="AB130:AB161" si="21">MAX(D130:W130)</f>
        <v>0.46189999999999998</v>
      </c>
    </row>
    <row r="131" spans="1:28">
      <c r="A131" t="s">
        <v>43</v>
      </c>
      <c r="B131" t="s">
        <v>38</v>
      </c>
      <c r="C131" t="s">
        <v>34</v>
      </c>
      <c r="D131" s="1">
        <v>0.32850000000000001</v>
      </c>
      <c r="E131" s="1">
        <v>0.48899999999999999</v>
      </c>
      <c r="F131" s="1">
        <v>0.48430000000000001</v>
      </c>
      <c r="G131" s="1">
        <v>0.47820000000000001</v>
      </c>
      <c r="H131" s="1">
        <v>0.4607</v>
      </c>
      <c r="I131" s="1">
        <v>0.44190000000000002</v>
      </c>
      <c r="J131" s="1">
        <v>0.36359999999999998</v>
      </c>
      <c r="K131" s="1">
        <v>0.49270000000000003</v>
      </c>
      <c r="L131" s="1">
        <v>0.38779999999999998</v>
      </c>
      <c r="M131" s="1">
        <v>0.40799999999999997</v>
      </c>
      <c r="N131" s="1">
        <v>0.43070000000000003</v>
      </c>
      <c r="O131" s="1">
        <v>0.50329999999999997</v>
      </c>
      <c r="P131" s="1">
        <v>0.4496</v>
      </c>
      <c r="Q131" s="1">
        <v>0.37719999999999998</v>
      </c>
      <c r="R131" s="1">
        <v>0.41710000000000003</v>
      </c>
      <c r="S131" s="1">
        <v>0.4642</v>
      </c>
      <c r="T131" s="1">
        <v>0.36659999999999998</v>
      </c>
      <c r="U131" s="1">
        <v>0.48139999999999999</v>
      </c>
      <c r="V131" s="1">
        <v>0.39929999999999999</v>
      </c>
      <c r="W131" s="1">
        <v>0.56530000000000002</v>
      </c>
      <c r="X131" s="1">
        <f t="shared" si="18"/>
        <v>0.43947000000000003</v>
      </c>
      <c r="Y131" s="1">
        <f t="shared" ref="Y131:Y176" si="22">_xlfn.STDEV.S(D131:W131)</f>
        <v>5.8373607049761786E-2</v>
      </c>
      <c r="Z131" s="1">
        <f t="shared" si="19"/>
        <v>13.282728525214868</v>
      </c>
      <c r="AA131" s="1">
        <f t="shared" si="20"/>
        <v>0.32850000000000001</v>
      </c>
      <c r="AB131" s="1">
        <f t="shared" si="21"/>
        <v>0.56530000000000002</v>
      </c>
    </row>
    <row r="132" spans="1:28">
      <c r="A132" t="s">
        <v>43</v>
      </c>
      <c r="B132" t="s">
        <v>39</v>
      </c>
      <c r="C132" t="s">
        <v>30</v>
      </c>
      <c r="D132" s="1">
        <v>0.104</v>
      </c>
      <c r="E132" s="1">
        <v>0.111</v>
      </c>
      <c r="F132" s="1">
        <v>0.10780000000000001</v>
      </c>
      <c r="G132" s="1">
        <v>0.1031</v>
      </c>
      <c r="H132" s="1">
        <v>0.11650000000000001</v>
      </c>
      <c r="I132" s="1">
        <v>0.1109</v>
      </c>
      <c r="J132" s="1">
        <v>0.1084</v>
      </c>
      <c r="K132" s="1">
        <v>0.11840000000000001</v>
      </c>
      <c r="L132" s="1">
        <v>0.10630000000000001</v>
      </c>
      <c r="M132" s="1">
        <v>0.1172</v>
      </c>
      <c r="N132" s="1">
        <v>0.11700000000000001</v>
      </c>
      <c r="O132" s="1">
        <v>0.1081</v>
      </c>
      <c r="P132" s="1">
        <v>0.1147</v>
      </c>
      <c r="Q132" s="1">
        <v>9.8400000000000001E-2</v>
      </c>
      <c r="R132" s="1">
        <v>0.1071</v>
      </c>
      <c r="S132" s="1">
        <v>0.11119999999999999</v>
      </c>
      <c r="T132" s="1">
        <v>0.10979999999999999</v>
      </c>
      <c r="U132" s="1">
        <v>0.1109</v>
      </c>
      <c r="V132" s="1">
        <v>0.1134</v>
      </c>
      <c r="W132" s="1">
        <v>0.1057</v>
      </c>
      <c r="X132" s="1">
        <f t="shared" si="18"/>
        <v>0.10999500000000002</v>
      </c>
      <c r="Y132" s="1">
        <f t="shared" si="22"/>
        <v>5.237363237757196E-3</v>
      </c>
      <c r="Z132" s="1">
        <f t="shared" si="19"/>
        <v>4.761455736858216</v>
      </c>
      <c r="AA132" s="1">
        <f t="shared" si="20"/>
        <v>9.8400000000000001E-2</v>
      </c>
      <c r="AB132" s="1">
        <f t="shared" si="21"/>
        <v>0.11840000000000001</v>
      </c>
    </row>
    <row r="133" spans="1:28">
      <c r="A133" t="s">
        <v>43</v>
      </c>
      <c r="B133" t="s">
        <v>39</v>
      </c>
      <c r="C133" t="s">
        <v>31</v>
      </c>
      <c r="D133" s="1">
        <v>0.1651</v>
      </c>
      <c r="E133" s="1">
        <v>0.151</v>
      </c>
      <c r="F133" s="1">
        <v>0.16450000000000001</v>
      </c>
      <c r="G133" s="1">
        <v>0.14430000000000001</v>
      </c>
      <c r="H133" s="1">
        <v>0.13550000000000001</v>
      </c>
      <c r="I133" s="1">
        <v>0.1938</v>
      </c>
      <c r="J133" s="1">
        <v>0.18310000000000001</v>
      </c>
      <c r="K133" s="1">
        <v>0.1671</v>
      </c>
      <c r="L133" s="1">
        <v>0.1721</v>
      </c>
      <c r="M133" s="1">
        <v>0.17460000000000001</v>
      </c>
      <c r="N133" s="1">
        <v>0.14749999999999999</v>
      </c>
      <c r="O133" s="1">
        <v>0.17949999999999999</v>
      </c>
      <c r="P133" s="1">
        <v>0.19670000000000001</v>
      </c>
      <c r="Q133" s="1">
        <v>0.13669999999999999</v>
      </c>
      <c r="R133" s="1">
        <v>0.17929999999999999</v>
      </c>
      <c r="S133" s="1">
        <v>0.1704</v>
      </c>
      <c r="T133" s="1">
        <v>0.18659999999999999</v>
      </c>
      <c r="U133" s="1">
        <v>0.17460000000000001</v>
      </c>
      <c r="V133" s="1">
        <v>0.15939999999999999</v>
      </c>
      <c r="W133" s="1">
        <v>0.19450000000000001</v>
      </c>
      <c r="X133" s="1">
        <f t="shared" si="18"/>
        <v>0.16881499999999997</v>
      </c>
      <c r="Y133" s="1">
        <f t="shared" si="22"/>
        <v>1.8530494781362868E-2</v>
      </c>
      <c r="Z133" s="1">
        <f t="shared" si="19"/>
        <v>10.976805841520523</v>
      </c>
      <c r="AA133" s="1">
        <f t="shared" si="20"/>
        <v>0.13550000000000001</v>
      </c>
      <c r="AB133" s="1">
        <f t="shared" si="21"/>
        <v>0.19670000000000001</v>
      </c>
    </row>
    <row r="134" spans="1:28">
      <c r="A134" t="s">
        <v>43</v>
      </c>
      <c r="B134" t="s">
        <v>39</v>
      </c>
      <c r="C134" t="s">
        <v>32</v>
      </c>
      <c r="D134" s="1">
        <v>0.23200000000000001</v>
      </c>
      <c r="E134" s="1">
        <v>0.23830000000000001</v>
      </c>
      <c r="F134" s="1">
        <v>0.26419999999999999</v>
      </c>
      <c r="G134" s="1">
        <v>0.21060000000000001</v>
      </c>
      <c r="H134" s="1">
        <v>0.28000000000000003</v>
      </c>
      <c r="I134" s="1">
        <v>0.19719999999999999</v>
      </c>
      <c r="J134" s="1">
        <v>0.23330000000000001</v>
      </c>
      <c r="K134" s="1">
        <v>0.25130000000000002</v>
      </c>
      <c r="L134" s="1">
        <v>0.24579999999999999</v>
      </c>
      <c r="M134" s="1">
        <v>0.22670000000000001</v>
      </c>
      <c r="N134" s="1">
        <v>0.23330000000000001</v>
      </c>
      <c r="O134" s="1">
        <v>0.26879999999999998</v>
      </c>
      <c r="P134" s="1">
        <v>0.2165</v>
      </c>
      <c r="Q134" s="1">
        <v>0.2586</v>
      </c>
      <c r="R134" s="1">
        <v>0.25769999999999998</v>
      </c>
      <c r="S134" s="1">
        <v>0.23549999999999999</v>
      </c>
      <c r="T134" s="1">
        <v>0.25269999999999998</v>
      </c>
      <c r="U134" s="1">
        <v>0.23519999999999999</v>
      </c>
      <c r="V134" s="1">
        <v>0.2291</v>
      </c>
      <c r="W134" s="1">
        <v>0.2296</v>
      </c>
      <c r="X134" s="1">
        <f t="shared" si="18"/>
        <v>0.23981999999999998</v>
      </c>
      <c r="Y134" s="1">
        <f t="shared" si="22"/>
        <v>2.032443693788601E-2</v>
      </c>
      <c r="Z134" s="1">
        <f t="shared" si="19"/>
        <v>8.47487154444417</v>
      </c>
      <c r="AA134" s="1">
        <f t="shared" si="20"/>
        <v>0.19719999999999999</v>
      </c>
      <c r="AB134" s="1">
        <f t="shared" si="21"/>
        <v>0.28000000000000003</v>
      </c>
    </row>
    <row r="135" spans="1:28">
      <c r="A135" t="s">
        <v>43</v>
      </c>
      <c r="B135" t="s">
        <v>39</v>
      </c>
      <c r="C135" t="s">
        <v>33</v>
      </c>
      <c r="D135" s="1">
        <v>0.36630000000000001</v>
      </c>
      <c r="E135" s="1">
        <v>0.36380000000000001</v>
      </c>
      <c r="F135" s="1">
        <v>0.376</v>
      </c>
      <c r="G135" s="1">
        <v>0.33739999999999998</v>
      </c>
      <c r="H135" s="1">
        <v>0.3523</v>
      </c>
      <c r="I135" s="1">
        <v>0.32700000000000001</v>
      </c>
      <c r="J135" s="1">
        <v>0.32769999999999999</v>
      </c>
      <c r="K135" s="1">
        <v>0.32990000000000003</v>
      </c>
      <c r="L135" s="1">
        <v>0.30199999999999999</v>
      </c>
      <c r="M135" s="1">
        <v>0.3513</v>
      </c>
      <c r="N135" s="1">
        <v>0.3135</v>
      </c>
      <c r="O135" s="1">
        <v>0.34210000000000002</v>
      </c>
      <c r="P135" s="1">
        <v>0.32500000000000001</v>
      </c>
      <c r="Q135" s="1">
        <v>0.33979999999999999</v>
      </c>
      <c r="R135" s="1">
        <v>0.3387</v>
      </c>
      <c r="S135" s="1">
        <v>0.34949999999999998</v>
      </c>
      <c r="T135" s="1">
        <v>0.32350000000000001</v>
      </c>
      <c r="U135" s="1">
        <v>0.34200000000000003</v>
      </c>
      <c r="V135" s="1">
        <v>0.32079999999999997</v>
      </c>
      <c r="W135" s="1">
        <v>0.36320000000000002</v>
      </c>
      <c r="X135" s="1">
        <f t="shared" si="18"/>
        <v>0.33959000000000006</v>
      </c>
      <c r="Y135" s="1">
        <f t="shared" si="22"/>
        <v>1.9069923964190317E-2</v>
      </c>
      <c r="Z135" s="1">
        <f t="shared" si="19"/>
        <v>5.6155728861834318</v>
      </c>
      <c r="AA135" s="1">
        <f t="shared" si="20"/>
        <v>0.30199999999999999</v>
      </c>
      <c r="AB135" s="1">
        <f t="shared" si="21"/>
        <v>0.376</v>
      </c>
    </row>
    <row r="136" spans="1:28">
      <c r="A136" t="s">
        <v>43</v>
      </c>
      <c r="B136" t="s">
        <v>39</v>
      </c>
      <c r="C136" t="s">
        <v>34</v>
      </c>
      <c r="D136" s="1">
        <v>0.37</v>
      </c>
      <c r="E136" s="1">
        <v>0.37469999999999998</v>
      </c>
      <c r="F136" s="1">
        <v>0.42480000000000001</v>
      </c>
      <c r="G136" s="1">
        <v>0.38069999999999998</v>
      </c>
      <c r="H136" s="1">
        <v>0.43709999999999999</v>
      </c>
      <c r="I136" s="1">
        <v>0.43519999999999998</v>
      </c>
      <c r="J136" s="1">
        <v>0.40260000000000001</v>
      </c>
      <c r="K136" s="1">
        <v>0.44319999999999998</v>
      </c>
      <c r="L136" s="1">
        <v>0.39589999999999997</v>
      </c>
      <c r="M136" s="1">
        <v>0.46050000000000002</v>
      </c>
      <c r="N136" s="1">
        <v>0.39860000000000001</v>
      </c>
      <c r="O136" s="1">
        <v>0.4123</v>
      </c>
      <c r="P136" s="1">
        <v>0.46060000000000001</v>
      </c>
      <c r="Q136" s="1">
        <v>0.38719999999999999</v>
      </c>
      <c r="R136" s="1">
        <v>0.38650000000000001</v>
      </c>
      <c r="S136" s="1">
        <v>0.3957</v>
      </c>
      <c r="T136" s="1">
        <v>0.40849999999999997</v>
      </c>
      <c r="U136" s="1">
        <v>0.36849999999999999</v>
      </c>
      <c r="V136" s="1">
        <v>0.42359999999999998</v>
      </c>
      <c r="W136" s="1">
        <v>0.43280000000000002</v>
      </c>
      <c r="X136" s="1">
        <f t="shared" si="18"/>
        <v>0.40994999999999998</v>
      </c>
      <c r="Y136" s="1">
        <f t="shared" si="22"/>
        <v>2.8654539458503738E-2</v>
      </c>
      <c r="Z136" s="1">
        <f t="shared" si="19"/>
        <v>6.98976447335132</v>
      </c>
      <c r="AA136" s="1">
        <f t="shared" si="20"/>
        <v>0.36849999999999999</v>
      </c>
      <c r="AB136" s="1">
        <f t="shared" si="21"/>
        <v>0.46060000000000001</v>
      </c>
    </row>
    <row r="137" spans="1:28">
      <c r="A137" t="s">
        <v>43</v>
      </c>
      <c r="B137" t="s">
        <v>40</v>
      </c>
      <c r="C137" t="s">
        <v>30</v>
      </c>
      <c r="D137" s="1">
        <v>9.5699999999999993E-2</v>
      </c>
      <c r="E137" s="1">
        <v>0.1</v>
      </c>
      <c r="F137" s="1">
        <v>9.9099999999999994E-2</v>
      </c>
      <c r="G137" s="1">
        <v>9.7199999999999995E-2</v>
      </c>
      <c r="H137" s="1">
        <v>9.5799999999999996E-2</v>
      </c>
      <c r="I137" s="1">
        <v>0.1022</v>
      </c>
      <c r="J137" s="1">
        <v>8.7900000000000006E-2</v>
      </c>
      <c r="K137" s="1">
        <v>0.1028</v>
      </c>
      <c r="L137" s="1">
        <v>0.1037</v>
      </c>
      <c r="M137" s="1">
        <v>9.7799999999999998E-2</v>
      </c>
      <c r="N137" s="1">
        <v>0.1003</v>
      </c>
      <c r="O137" s="1">
        <v>0.1159</v>
      </c>
      <c r="P137" s="1">
        <v>9.8299999999999998E-2</v>
      </c>
      <c r="Q137" s="1">
        <v>8.9599999999999999E-2</v>
      </c>
      <c r="R137" s="1">
        <v>9.8799999999999999E-2</v>
      </c>
      <c r="S137" s="1">
        <v>0.1061</v>
      </c>
      <c r="T137" s="1">
        <v>0.1024</v>
      </c>
      <c r="U137" s="1">
        <v>9.8799999999999999E-2</v>
      </c>
      <c r="V137" s="1">
        <v>9.9500000000000005E-2</v>
      </c>
      <c r="W137" s="1">
        <v>0.1003</v>
      </c>
      <c r="X137" s="1">
        <f t="shared" si="18"/>
        <v>9.9610000000000004E-2</v>
      </c>
      <c r="Y137" s="1">
        <f t="shared" si="22"/>
        <v>5.7559945868816209E-3</v>
      </c>
      <c r="Z137" s="1">
        <f t="shared" si="19"/>
        <v>5.7785308572247969</v>
      </c>
      <c r="AA137" s="1">
        <f t="shared" si="20"/>
        <v>8.7900000000000006E-2</v>
      </c>
      <c r="AB137" s="1">
        <f t="shared" si="21"/>
        <v>0.1159</v>
      </c>
    </row>
    <row r="138" spans="1:28">
      <c r="A138" t="s">
        <v>43</v>
      </c>
      <c r="B138" t="s">
        <v>40</v>
      </c>
      <c r="C138" t="s">
        <v>31</v>
      </c>
      <c r="D138" s="1">
        <v>0.15540000000000001</v>
      </c>
      <c r="E138" s="1">
        <v>0.15260000000000001</v>
      </c>
      <c r="F138" s="1">
        <v>0.13</v>
      </c>
      <c r="G138" s="1">
        <v>0.16850000000000001</v>
      </c>
      <c r="H138" s="1">
        <v>0.16289999999999999</v>
      </c>
      <c r="I138" s="1">
        <v>0.13439999999999999</v>
      </c>
      <c r="J138" s="1">
        <v>0.1404</v>
      </c>
      <c r="K138" s="1">
        <v>0.17430000000000001</v>
      </c>
      <c r="L138" s="1">
        <v>0.13689999999999999</v>
      </c>
      <c r="M138" s="1">
        <v>0.15870000000000001</v>
      </c>
      <c r="N138" s="1">
        <v>0.1389</v>
      </c>
      <c r="O138" s="1">
        <v>0.15820000000000001</v>
      </c>
      <c r="P138" s="1">
        <v>0.1714</v>
      </c>
      <c r="Q138" s="1">
        <v>0.1321</v>
      </c>
      <c r="R138" s="1">
        <v>0.14940000000000001</v>
      </c>
      <c r="S138" s="1">
        <v>0.17050000000000001</v>
      </c>
      <c r="T138" s="1">
        <v>0.1424</v>
      </c>
      <c r="U138" s="1">
        <v>0.13689999999999999</v>
      </c>
      <c r="V138" s="1">
        <v>0.1366</v>
      </c>
      <c r="W138" s="1">
        <v>0.15329999999999999</v>
      </c>
      <c r="X138" s="1">
        <f t="shared" si="18"/>
        <v>0.15018999999999999</v>
      </c>
      <c r="Y138" s="1">
        <f t="shared" si="22"/>
        <v>1.4375450565021207E-2</v>
      </c>
      <c r="Z138" s="1">
        <f t="shared" si="19"/>
        <v>9.5715097976038397</v>
      </c>
      <c r="AA138" s="1">
        <f t="shared" si="20"/>
        <v>0.13</v>
      </c>
      <c r="AB138" s="1">
        <f t="shared" si="21"/>
        <v>0.17430000000000001</v>
      </c>
    </row>
    <row r="139" spans="1:28">
      <c r="A139" t="s">
        <v>43</v>
      </c>
      <c r="B139" t="s">
        <v>40</v>
      </c>
      <c r="C139" t="s">
        <v>32</v>
      </c>
      <c r="D139" s="1">
        <v>0.23069999999999999</v>
      </c>
      <c r="E139" s="1">
        <v>0.19009999999999999</v>
      </c>
      <c r="F139" s="1">
        <v>0.20979999999999999</v>
      </c>
      <c r="G139" s="1">
        <v>0.21279999999999999</v>
      </c>
      <c r="H139" s="1">
        <v>0.21160000000000001</v>
      </c>
      <c r="I139" s="1">
        <v>0.2392</v>
      </c>
      <c r="J139" s="1">
        <v>0.2145</v>
      </c>
      <c r="K139" s="1">
        <v>0.23799999999999999</v>
      </c>
      <c r="L139" s="1">
        <v>0.22059999999999999</v>
      </c>
      <c r="M139" s="1">
        <v>0.21410000000000001</v>
      </c>
      <c r="N139" s="1">
        <v>0.20130000000000001</v>
      </c>
      <c r="O139" s="1">
        <v>0.25569999999999998</v>
      </c>
      <c r="P139" s="1">
        <v>0.2404</v>
      </c>
      <c r="Q139" s="1">
        <v>0.25890000000000002</v>
      </c>
      <c r="R139" s="1">
        <v>0.19670000000000001</v>
      </c>
      <c r="S139" s="1">
        <v>0.20619999999999999</v>
      </c>
      <c r="T139" s="1">
        <v>0.2069</v>
      </c>
      <c r="U139" s="1">
        <v>0.19400000000000001</v>
      </c>
      <c r="V139" s="1">
        <v>0.20730000000000001</v>
      </c>
      <c r="W139" s="1">
        <v>0.24979999999999999</v>
      </c>
      <c r="X139" s="1">
        <f t="shared" si="18"/>
        <v>0.21992999999999996</v>
      </c>
      <c r="Y139" s="1">
        <f t="shared" si="22"/>
        <v>2.0744970221084534E-2</v>
      </c>
      <c r="Z139" s="1">
        <f t="shared" si="19"/>
        <v>9.4325331792318181</v>
      </c>
      <c r="AA139" s="1">
        <f t="shared" si="20"/>
        <v>0.19009999999999999</v>
      </c>
      <c r="AB139" s="1">
        <f t="shared" si="21"/>
        <v>0.25890000000000002</v>
      </c>
    </row>
    <row r="140" spans="1:28">
      <c r="A140" t="s">
        <v>43</v>
      </c>
      <c r="B140" t="s">
        <v>40</v>
      </c>
      <c r="C140" t="s">
        <v>33</v>
      </c>
      <c r="D140" s="1">
        <v>0.29370000000000002</v>
      </c>
      <c r="E140" s="1">
        <v>0.29959999999999998</v>
      </c>
      <c r="F140" s="1">
        <v>0.31169999999999998</v>
      </c>
      <c r="G140" s="1">
        <v>0.3322</v>
      </c>
      <c r="H140" s="1">
        <v>0.33050000000000002</v>
      </c>
      <c r="I140" s="1">
        <v>0.33329999999999999</v>
      </c>
      <c r="J140" s="1">
        <v>0.32129999999999997</v>
      </c>
      <c r="K140" s="1">
        <v>0.31580000000000003</v>
      </c>
      <c r="L140" s="1">
        <v>0.29780000000000001</v>
      </c>
      <c r="M140" s="1">
        <v>0.29659999999999997</v>
      </c>
      <c r="N140" s="1">
        <v>0.31169999999999998</v>
      </c>
      <c r="O140" s="1">
        <v>0.30880000000000002</v>
      </c>
      <c r="P140" s="1">
        <v>0.30509999999999998</v>
      </c>
      <c r="Q140" s="1">
        <v>0.29210000000000003</v>
      </c>
      <c r="R140" s="1">
        <v>0.31709999999999999</v>
      </c>
      <c r="S140" s="1">
        <v>0.31530000000000002</v>
      </c>
      <c r="T140" s="1">
        <v>0.29380000000000001</v>
      </c>
      <c r="U140" s="1">
        <v>0.29089999999999999</v>
      </c>
      <c r="V140" s="1">
        <v>0.31509999999999999</v>
      </c>
      <c r="W140" s="1">
        <v>0.31280000000000002</v>
      </c>
      <c r="X140" s="1">
        <f t="shared" si="18"/>
        <v>0.30975999999999992</v>
      </c>
      <c r="Y140" s="1">
        <f t="shared" si="22"/>
        <v>1.3396087409939398E-2</v>
      </c>
      <c r="Z140" s="1">
        <f t="shared" si="19"/>
        <v>4.3246666483533707</v>
      </c>
      <c r="AA140" s="1">
        <f t="shared" si="20"/>
        <v>0.29089999999999999</v>
      </c>
      <c r="AB140" s="1">
        <f t="shared" si="21"/>
        <v>0.33329999999999999</v>
      </c>
    </row>
    <row r="141" spans="1:28">
      <c r="A141" t="s">
        <v>43</v>
      </c>
      <c r="B141" t="s">
        <v>40</v>
      </c>
      <c r="C141" t="s">
        <v>34</v>
      </c>
      <c r="D141" s="1">
        <v>0.35349999999999998</v>
      </c>
      <c r="E141" s="1">
        <v>0.40250000000000002</v>
      </c>
      <c r="F141" s="1">
        <v>0.37180000000000002</v>
      </c>
      <c r="G141" s="1">
        <v>0.32779999999999998</v>
      </c>
      <c r="H141" s="1">
        <v>0.4511</v>
      </c>
      <c r="I141" s="1">
        <v>0.39750000000000002</v>
      </c>
      <c r="J141" s="1">
        <v>0.38840000000000002</v>
      </c>
      <c r="K141" s="1">
        <v>0.36930000000000002</v>
      </c>
      <c r="L141" s="1">
        <v>0.44400000000000001</v>
      </c>
      <c r="M141" s="1">
        <v>0.37740000000000001</v>
      </c>
      <c r="N141" s="1">
        <v>0.38629999999999998</v>
      </c>
      <c r="O141" s="1">
        <v>0.35039999999999999</v>
      </c>
      <c r="P141" s="1">
        <v>0.32869999999999999</v>
      </c>
      <c r="Q141" s="1">
        <v>0.37780000000000002</v>
      </c>
      <c r="R141" s="1">
        <v>0.39400000000000002</v>
      </c>
      <c r="S141" s="1">
        <v>0.43480000000000002</v>
      </c>
      <c r="T141" s="1">
        <v>0.35799999999999998</v>
      </c>
      <c r="U141" s="1">
        <v>0.30420000000000003</v>
      </c>
      <c r="V141" s="1">
        <v>0.38159999999999999</v>
      </c>
      <c r="W141" s="1">
        <v>0.37409999999999999</v>
      </c>
      <c r="X141" s="1">
        <f t="shared" si="18"/>
        <v>0.37866</v>
      </c>
      <c r="Y141" s="1">
        <f t="shared" si="22"/>
        <v>3.7439331977846088E-2</v>
      </c>
      <c r="Z141" s="1">
        <f t="shared" si="19"/>
        <v>9.8873216019241781</v>
      </c>
      <c r="AA141" s="1">
        <f t="shared" si="20"/>
        <v>0.30420000000000003</v>
      </c>
      <c r="AB141" s="1">
        <f t="shared" si="21"/>
        <v>0.4511</v>
      </c>
    </row>
    <row r="142" spans="1:28">
      <c r="A142" t="s">
        <v>44</v>
      </c>
      <c r="B142" t="s">
        <v>29</v>
      </c>
      <c r="C142" t="s">
        <v>30</v>
      </c>
      <c r="D142" s="1">
        <v>5.9461000000000004</v>
      </c>
      <c r="E142" s="1">
        <v>4.9687000000000001</v>
      </c>
      <c r="F142" s="1">
        <v>5.7991999999999999</v>
      </c>
      <c r="G142" s="1">
        <v>6.2134</v>
      </c>
      <c r="H142" s="1">
        <v>5.6630000000000003</v>
      </c>
      <c r="I142" s="1">
        <v>5.4753999999999996</v>
      </c>
      <c r="J142" s="1">
        <v>5.3632</v>
      </c>
      <c r="K142" s="1">
        <v>5.5228000000000002</v>
      </c>
      <c r="L142" s="1">
        <v>5.1421000000000001</v>
      </c>
      <c r="M142" s="1">
        <v>5.7058999999999997</v>
      </c>
      <c r="N142" s="1">
        <v>5.3979999999999997</v>
      </c>
      <c r="O142" s="1">
        <v>5.7491000000000003</v>
      </c>
      <c r="P142" s="1">
        <v>4.9461000000000004</v>
      </c>
      <c r="Q142" s="1">
        <v>5.4743000000000004</v>
      </c>
      <c r="R142" s="1">
        <v>5.8242000000000003</v>
      </c>
      <c r="S142" s="1">
        <v>5.3570000000000002</v>
      </c>
      <c r="T142" s="1">
        <v>5.8471000000000002</v>
      </c>
      <c r="U142" s="1">
        <v>5.9482999999999997</v>
      </c>
      <c r="V142" s="1">
        <v>5.7317</v>
      </c>
      <c r="W142" s="1">
        <v>5.665</v>
      </c>
      <c r="X142" s="1">
        <f t="shared" si="18"/>
        <v>5.5870300000000004</v>
      </c>
      <c r="Y142" s="1">
        <f t="shared" si="22"/>
        <v>0.32871299927860603</v>
      </c>
      <c r="Z142" s="1">
        <f t="shared" si="19"/>
        <v>5.8835015970668856</v>
      </c>
      <c r="AA142" s="1">
        <f t="shared" si="20"/>
        <v>4.9461000000000004</v>
      </c>
      <c r="AB142" s="1">
        <f t="shared" si="21"/>
        <v>6.2134</v>
      </c>
    </row>
    <row r="143" spans="1:28">
      <c r="A143" t="s">
        <v>44</v>
      </c>
      <c r="B143" t="s">
        <v>29</v>
      </c>
      <c r="C143" t="s">
        <v>31</v>
      </c>
      <c r="D143" s="1">
        <v>9.3110999999999997</v>
      </c>
      <c r="E143" s="1">
        <v>9.0753000000000004</v>
      </c>
      <c r="F143" s="1">
        <v>10.6325</v>
      </c>
      <c r="G143" s="1">
        <v>9.3056000000000001</v>
      </c>
      <c r="H143" s="1">
        <v>9.6213999999999995</v>
      </c>
      <c r="I143" s="1">
        <v>9.3757999999999999</v>
      </c>
      <c r="J143" s="1">
        <v>9.4426000000000005</v>
      </c>
      <c r="K143" s="1">
        <v>9.2030999999999992</v>
      </c>
      <c r="L143" s="1">
        <v>9.8107000000000006</v>
      </c>
      <c r="M143" s="1">
        <v>9.0844000000000005</v>
      </c>
      <c r="N143" s="1">
        <v>8.8459000000000003</v>
      </c>
      <c r="O143" s="1">
        <v>9.3246000000000002</v>
      </c>
      <c r="P143" s="1">
        <v>9.6653000000000002</v>
      </c>
      <c r="Q143" s="1">
        <v>8.7002000000000006</v>
      </c>
      <c r="R143" s="1">
        <v>9.1205999999999996</v>
      </c>
      <c r="S143" s="1">
        <v>9.3508999999999993</v>
      </c>
      <c r="T143" s="1">
        <v>9.6083999999999996</v>
      </c>
      <c r="U143" s="1">
        <v>9.9620999999999995</v>
      </c>
      <c r="V143" s="1">
        <v>8.9818999999999996</v>
      </c>
      <c r="W143" s="1">
        <v>11.517300000000001</v>
      </c>
      <c r="X143" s="1">
        <f t="shared" si="18"/>
        <v>9.4969849999999987</v>
      </c>
      <c r="Y143" s="1">
        <f t="shared" si="22"/>
        <v>0.63998725585584504</v>
      </c>
      <c r="Z143" s="1">
        <f t="shared" si="19"/>
        <v>6.7388466534994542</v>
      </c>
      <c r="AA143" s="1">
        <f t="shared" si="20"/>
        <v>8.7002000000000006</v>
      </c>
      <c r="AB143" s="1">
        <f t="shared" si="21"/>
        <v>11.517300000000001</v>
      </c>
    </row>
    <row r="144" spans="1:28">
      <c r="A144" t="s">
        <v>44</v>
      </c>
      <c r="B144" t="s">
        <v>29</v>
      </c>
      <c r="C144" t="s">
        <v>32</v>
      </c>
      <c r="D144" s="1">
        <v>12.7354</v>
      </c>
      <c r="E144" s="1">
        <v>12.289400000000001</v>
      </c>
      <c r="F144" s="1">
        <v>13.7195</v>
      </c>
      <c r="G144" s="1">
        <v>13.593400000000001</v>
      </c>
      <c r="H144" s="1">
        <v>12.2592</v>
      </c>
      <c r="I144" s="1">
        <v>13.3322</v>
      </c>
      <c r="J144" s="1">
        <v>14.300800000000001</v>
      </c>
      <c r="K144" s="1">
        <v>13.498100000000001</v>
      </c>
      <c r="L144" s="1">
        <v>13.228899999999999</v>
      </c>
      <c r="M144" s="1">
        <v>12.856199999999999</v>
      </c>
      <c r="N144" s="1">
        <v>13.1891</v>
      </c>
      <c r="O144" s="1">
        <v>13.398</v>
      </c>
      <c r="P144" s="1">
        <v>13.533799999999999</v>
      </c>
      <c r="Q144" s="1">
        <v>13.517099999999999</v>
      </c>
      <c r="R144" s="1">
        <v>13.7042</v>
      </c>
      <c r="S144" s="1">
        <v>14.203099999999999</v>
      </c>
      <c r="T144" s="1">
        <v>12.2194</v>
      </c>
      <c r="U144" s="1">
        <v>12.824199999999999</v>
      </c>
      <c r="V144" s="1">
        <v>12.9001</v>
      </c>
      <c r="W144" s="1">
        <v>12.7492</v>
      </c>
      <c r="X144" s="1">
        <f t="shared" si="18"/>
        <v>13.202564999999998</v>
      </c>
      <c r="Y144" s="1">
        <f t="shared" si="22"/>
        <v>0.59380506660989252</v>
      </c>
      <c r="Z144" s="1">
        <f t="shared" si="19"/>
        <v>4.4976492568670761</v>
      </c>
      <c r="AA144" s="1">
        <f t="shared" si="20"/>
        <v>12.2194</v>
      </c>
      <c r="AB144" s="1">
        <f t="shared" si="21"/>
        <v>14.300800000000001</v>
      </c>
    </row>
    <row r="145" spans="1:28">
      <c r="A145" t="s">
        <v>44</v>
      </c>
      <c r="B145" t="s">
        <v>29</v>
      </c>
      <c r="C145" t="s">
        <v>33</v>
      </c>
      <c r="D145" s="1">
        <v>20.281700000000001</v>
      </c>
      <c r="E145" s="1">
        <v>15.935499999999999</v>
      </c>
      <c r="F145" s="1">
        <v>17.529599999999999</v>
      </c>
      <c r="G145" s="1">
        <v>16.934000000000001</v>
      </c>
      <c r="H145" s="1">
        <v>16.264099999999999</v>
      </c>
      <c r="I145" s="1">
        <v>18.297999999999998</v>
      </c>
      <c r="J145" s="1">
        <v>17.023299999999999</v>
      </c>
      <c r="K145" s="1">
        <v>14.518599999999999</v>
      </c>
      <c r="L145" s="1">
        <v>14.6213</v>
      </c>
      <c r="M145" s="1">
        <v>16.5839</v>
      </c>
      <c r="N145" s="1">
        <v>17.5444</v>
      </c>
      <c r="O145" s="1">
        <v>17.666799999999999</v>
      </c>
      <c r="P145" s="1">
        <v>18.301100000000002</v>
      </c>
      <c r="Q145" s="1">
        <v>18.7118</v>
      </c>
      <c r="R145" s="1">
        <v>17.816099999999999</v>
      </c>
      <c r="S145" s="1">
        <v>18.952999999999999</v>
      </c>
      <c r="T145" s="1">
        <v>16.767299999999999</v>
      </c>
      <c r="U145" s="1">
        <v>17.881599999999999</v>
      </c>
      <c r="V145" s="1">
        <v>18.3779</v>
      </c>
      <c r="W145" s="1">
        <v>17.598800000000001</v>
      </c>
      <c r="X145" s="1">
        <f t="shared" si="18"/>
        <v>17.380439999999997</v>
      </c>
      <c r="Y145" s="1">
        <f t="shared" si="22"/>
        <v>1.3849060380059235</v>
      </c>
      <c r="Z145" s="1">
        <f t="shared" si="19"/>
        <v>7.9681874452310977</v>
      </c>
      <c r="AA145" s="1">
        <f t="shared" si="20"/>
        <v>14.518599999999999</v>
      </c>
      <c r="AB145" s="1">
        <f t="shared" si="21"/>
        <v>20.281700000000001</v>
      </c>
    </row>
    <row r="146" spans="1:28">
      <c r="A146" t="s">
        <v>44</v>
      </c>
      <c r="B146" t="s">
        <v>29</v>
      </c>
      <c r="C146" t="s">
        <v>34</v>
      </c>
      <c r="D146" s="1">
        <v>23.020600000000002</v>
      </c>
      <c r="E146" s="1">
        <v>19.901700000000002</v>
      </c>
      <c r="F146" s="1">
        <v>20.8962</v>
      </c>
      <c r="G146" s="1">
        <v>19.588999999999999</v>
      </c>
      <c r="H146" s="1">
        <v>20.120799999999999</v>
      </c>
      <c r="I146" s="1">
        <v>20.383800000000001</v>
      </c>
      <c r="J146" s="1">
        <v>20.7088</v>
      </c>
      <c r="K146" s="1">
        <v>21.8248</v>
      </c>
      <c r="L146" s="1">
        <v>19.343399999999999</v>
      </c>
      <c r="M146" s="1">
        <v>20.2681</v>
      </c>
      <c r="N146" s="1">
        <v>21.086099999999998</v>
      </c>
      <c r="O146" s="1">
        <v>19.5443</v>
      </c>
      <c r="P146" s="1">
        <v>18.9682</v>
      </c>
      <c r="Q146" s="1">
        <v>21.869800000000001</v>
      </c>
      <c r="R146" s="1">
        <v>19.652999999999999</v>
      </c>
      <c r="S146" s="1">
        <v>19.2196</v>
      </c>
      <c r="T146" s="1">
        <v>20.237200000000001</v>
      </c>
      <c r="U146" s="1">
        <v>20.585599999999999</v>
      </c>
      <c r="V146" s="1">
        <v>20.8826</v>
      </c>
      <c r="W146" s="1">
        <v>19.659600000000001</v>
      </c>
      <c r="X146" s="1">
        <f t="shared" si="18"/>
        <v>20.388160000000003</v>
      </c>
      <c r="Y146" s="1">
        <f t="shared" si="22"/>
        <v>1.0146590292724997</v>
      </c>
      <c r="Z146" s="1">
        <f t="shared" si="19"/>
        <v>4.9767072127769234</v>
      </c>
      <c r="AA146" s="1">
        <f t="shared" si="20"/>
        <v>18.9682</v>
      </c>
      <c r="AB146" s="1">
        <f t="shared" si="21"/>
        <v>23.020600000000002</v>
      </c>
    </row>
    <row r="147" spans="1:28">
      <c r="A147" t="s">
        <v>44</v>
      </c>
      <c r="B147" t="s">
        <v>35</v>
      </c>
      <c r="C147" t="s">
        <v>30</v>
      </c>
      <c r="D147" s="1">
        <v>4.1885000000000003</v>
      </c>
      <c r="E147" s="1">
        <v>4.6429</v>
      </c>
      <c r="F147" s="1">
        <v>4.7145999999999999</v>
      </c>
      <c r="G147" s="1">
        <v>4.5526</v>
      </c>
      <c r="H147" s="1">
        <v>4.4013</v>
      </c>
      <c r="I147" s="1">
        <v>4.0953999999999997</v>
      </c>
      <c r="J147" s="1">
        <v>4.2291999999999996</v>
      </c>
      <c r="K147" s="1">
        <v>4.6284999999999998</v>
      </c>
      <c r="L147" s="1">
        <v>4.4276999999999997</v>
      </c>
      <c r="M147" s="1">
        <v>4.5753000000000004</v>
      </c>
      <c r="N147" s="1">
        <v>4.4538000000000002</v>
      </c>
      <c r="O147" s="1">
        <v>3.8818999999999999</v>
      </c>
      <c r="P147" s="1">
        <v>4.8597000000000001</v>
      </c>
      <c r="Q147" s="1">
        <v>4.2695999999999996</v>
      </c>
      <c r="R147" s="1">
        <v>3.0669</v>
      </c>
      <c r="S147" s="1">
        <v>4.6577000000000002</v>
      </c>
      <c r="T147" s="1">
        <v>3.9346999999999999</v>
      </c>
      <c r="U147" s="1">
        <v>4.6692999999999998</v>
      </c>
      <c r="V147" s="1">
        <v>4.8144999999999998</v>
      </c>
      <c r="W147" s="1">
        <v>4.4153000000000002</v>
      </c>
      <c r="X147" s="1">
        <f t="shared" si="18"/>
        <v>4.3739700000000008</v>
      </c>
      <c r="Y147" s="1">
        <f t="shared" si="22"/>
        <v>0.41182473290415544</v>
      </c>
      <c r="Z147" s="1">
        <f t="shared" si="19"/>
        <v>9.4153533952943285</v>
      </c>
      <c r="AA147" s="1">
        <f t="shared" si="20"/>
        <v>3.0669</v>
      </c>
      <c r="AB147" s="1">
        <f t="shared" si="21"/>
        <v>4.8597000000000001</v>
      </c>
    </row>
    <row r="148" spans="1:28">
      <c r="A148" t="s">
        <v>44</v>
      </c>
      <c r="B148" t="s">
        <v>35</v>
      </c>
      <c r="C148" t="s">
        <v>31</v>
      </c>
      <c r="D148" s="1">
        <v>6.8079000000000001</v>
      </c>
      <c r="E148" s="1">
        <v>6.4981999999999998</v>
      </c>
      <c r="F148" s="1">
        <v>6.4984000000000002</v>
      </c>
      <c r="G148" s="1">
        <v>7.0289999999999999</v>
      </c>
      <c r="H148" s="1">
        <v>6.7454999999999998</v>
      </c>
      <c r="I148" s="1">
        <v>6.8064</v>
      </c>
      <c r="J148" s="1">
        <v>6.4534000000000002</v>
      </c>
      <c r="K148" s="1">
        <v>7.2873000000000001</v>
      </c>
      <c r="L148" s="1">
        <v>6.8615000000000004</v>
      </c>
      <c r="M148" s="1">
        <v>5.8826000000000001</v>
      </c>
      <c r="N148" s="1">
        <v>6.9039000000000001</v>
      </c>
      <c r="O148" s="1">
        <v>7.0274999999999999</v>
      </c>
      <c r="P148" s="1">
        <v>6.8346</v>
      </c>
      <c r="Q148" s="1">
        <v>7.17</v>
      </c>
      <c r="R148" s="1">
        <v>6.2209000000000003</v>
      </c>
      <c r="S148" s="1">
        <v>8.2725000000000009</v>
      </c>
      <c r="T148" s="1">
        <v>6.3834</v>
      </c>
      <c r="U148" s="1">
        <v>7.7937000000000003</v>
      </c>
      <c r="V148" s="1">
        <v>7.3666999999999998</v>
      </c>
      <c r="W148" s="1">
        <v>7.4725999999999999</v>
      </c>
      <c r="X148" s="1">
        <f t="shared" si="18"/>
        <v>6.9157999999999999</v>
      </c>
      <c r="Y148" s="1">
        <f t="shared" si="22"/>
        <v>0.55303764314632531</v>
      </c>
      <c r="Z148" s="1">
        <f t="shared" si="19"/>
        <v>7.9967269606744749</v>
      </c>
      <c r="AA148" s="1">
        <f t="shared" si="20"/>
        <v>5.8826000000000001</v>
      </c>
      <c r="AB148" s="1">
        <f t="shared" si="21"/>
        <v>8.2725000000000009</v>
      </c>
    </row>
    <row r="149" spans="1:28">
      <c r="A149" t="s">
        <v>44</v>
      </c>
      <c r="B149" t="s">
        <v>35</v>
      </c>
      <c r="C149" t="s">
        <v>32</v>
      </c>
      <c r="D149" s="1">
        <v>10.3393</v>
      </c>
      <c r="E149" s="1">
        <v>9.1782000000000004</v>
      </c>
      <c r="F149" s="1">
        <v>9.1122999999999994</v>
      </c>
      <c r="G149" s="1">
        <v>9.4237000000000002</v>
      </c>
      <c r="H149" s="1">
        <v>9.657</v>
      </c>
      <c r="I149" s="1">
        <v>9.6857000000000006</v>
      </c>
      <c r="J149" s="1">
        <v>9.5806000000000004</v>
      </c>
      <c r="K149" s="1">
        <v>9.3018000000000001</v>
      </c>
      <c r="L149" s="1">
        <v>10.615600000000001</v>
      </c>
      <c r="M149" s="1">
        <v>9.5326000000000004</v>
      </c>
      <c r="N149" s="1">
        <v>10.3728</v>
      </c>
      <c r="O149" s="1">
        <v>9.2197999999999993</v>
      </c>
      <c r="P149" s="1">
        <v>9.4067000000000007</v>
      </c>
      <c r="Q149" s="1">
        <v>9.5966000000000005</v>
      </c>
      <c r="R149" s="1">
        <v>9.9103999999999992</v>
      </c>
      <c r="S149" s="1">
        <v>9.4936000000000007</v>
      </c>
      <c r="T149" s="1">
        <v>9.9184999999999999</v>
      </c>
      <c r="U149" s="1">
        <v>9.3254000000000001</v>
      </c>
      <c r="V149" s="1">
        <v>9.6199999999999992</v>
      </c>
      <c r="W149" s="1">
        <v>9.0854999999999997</v>
      </c>
      <c r="X149" s="1">
        <f t="shared" si="18"/>
        <v>9.6188049999999983</v>
      </c>
      <c r="Y149" s="1">
        <f t="shared" si="22"/>
        <v>0.42618222378276299</v>
      </c>
      <c r="Z149" s="1">
        <f t="shared" si="19"/>
        <v>4.4307190319666843</v>
      </c>
      <c r="AA149" s="1">
        <f t="shared" si="20"/>
        <v>9.0854999999999997</v>
      </c>
      <c r="AB149" s="1">
        <f t="shared" si="21"/>
        <v>10.615600000000001</v>
      </c>
    </row>
    <row r="150" spans="1:28">
      <c r="A150" t="s">
        <v>44</v>
      </c>
      <c r="B150" t="s">
        <v>35</v>
      </c>
      <c r="C150" t="s">
        <v>33</v>
      </c>
      <c r="D150" s="1">
        <v>14.763199999999999</v>
      </c>
      <c r="E150" s="1">
        <v>12.569900000000001</v>
      </c>
      <c r="F150" s="1">
        <v>13.287599999999999</v>
      </c>
      <c r="G150" s="1">
        <v>12.900600000000001</v>
      </c>
      <c r="H150" s="1">
        <v>12.5159</v>
      </c>
      <c r="I150" s="1">
        <v>13.7645</v>
      </c>
      <c r="J150" s="1">
        <v>12.099</v>
      </c>
      <c r="K150" s="1">
        <v>11.321300000000001</v>
      </c>
      <c r="L150" s="1">
        <v>13.645899999999999</v>
      </c>
      <c r="M150" s="1">
        <v>14.525399999999999</v>
      </c>
      <c r="N150" s="1">
        <v>10.2311</v>
      </c>
      <c r="O150" s="1">
        <v>12.836600000000001</v>
      </c>
      <c r="P150" s="1">
        <v>12.562200000000001</v>
      </c>
      <c r="Q150" s="1">
        <v>13.283200000000001</v>
      </c>
      <c r="R150" s="1">
        <v>12.174799999999999</v>
      </c>
      <c r="S150" s="1">
        <v>14.2537</v>
      </c>
      <c r="T150" s="1">
        <v>11.819599999999999</v>
      </c>
      <c r="U150" s="1">
        <v>12.7201</v>
      </c>
      <c r="V150" s="1">
        <v>12.378500000000001</v>
      </c>
      <c r="W150" s="1">
        <v>13.8992</v>
      </c>
      <c r="X150" s="1">
        <f t="shared" si="18"/>
        <v>12.877615</v>
      </c>
      <c r="Y150" s="1">
        <f t="shared" si="22"/>
        <v>1.104159121958997</v>
      </c>
      <c r="Z150" s="1">
        <f t="shared" si="19"/>
        <v>8.5742516914739024</v>
      </c>
      <c r="AA150" s="1">
        <f t="shared" si="20"/>
        <v>10.2311</v>
      </c>
      <c r="AB150" s="1">
        <f t="shared" si="21"/>
        <v>14.763199999999999</v>
      </c>
    </row>
    <row r="151" spans="1:28">
      <c r="A151" t="s">
        <v>44</v>
      </c>
      <c r="B151" t="s">
        <v>35</v>
      </c>
      <c r="C151" t="s">
        <v>34</v>
      </c>
      <c r="D151" s="1">
        <v>16.6127</v>
      </c>
      <c r="E151" s="1">
        <v>13.803000000000001</v>
      </c>
      <c r="F151" s="1">
        <v>13.6675</v>
      </c>
      <c r="G151" s="1">
        <v>14.5588</v>
      </c>
      <c r="H151" s="1">
        <v>15.2155</v>
      </c>
      <c r="I151" s="1">
        <v>16.433</v>
      </c>
      <c r="J151" s="1">
        <v>13.5928</v>
      </c>
      <c r="K151" s="1">
        <v>15.255699999999999</v>
      </c>
      <c r="L151" s="1">
        <v>16.401599999999998</v>
      </c>
      <c r="M151" s="1">
        <v>18.067699999999999</v>
      </c>
      <c r="N151" s="1">
        <v>14.115</v>
      </c>
      <c r="O151" s="1">
        <v>15.566599999999999</v>
      </c>
      <c r="P151" s="1">
        <v>14.883100000000001</v>
      </c>
      <c r="Q151" s="1">
        <v>13.360300000000001</v>
      </c>
      <c r="R151" s="1">
        <v>15.998900000000001</v>
      </c>
      <c r="S151" s="1">
        <v>15.8302</v>
      </c>
      <c r="T151" s="1">
        <v>11.994899999999999</v>
      </c>
      <c r="U151" s="1">
        <v>17.434000000000001</v>
      </c>
      <c r="V151" s="1">
        <v>16.9283</v>
      </c>
      <c r="W151" s="1">
        <v>15.8461</v>
      </c>
      <c r="X151" s="1">
        <f t="shared" si="18"/>
        <v>15.278285</v>
      </c>
      <c r="Y151" s="1">
        <f t="shared" si="22"/>
        <v>1.5365468154530622</v>
      </c>
      <c r="Z151" s="1">
        <f t="shared" si="19"/>
        <v>10.057063443004646</v>
      </c>
      <c r="AA151" s="1">
        <f t="shared" si="20"/>
        <v>11.994899999999999</v>
      </c>
      <c r="AB151" s="1">
        <f t="shared" si="21"/>
        <v>18.067699999999999</v>
      </c>
    </row>
    <row r="152" spans="1:28">
      <c r="A152" t="s">
        <v>44</v>
      </c>
      <c r="B152" t="s">
        <v>36</v>
      </c>
      <c r="C152" t="s">
        <v>30</v>
      </c>
      <c r="D152" s="1">
        <v>3.6564999999999999</v>
      </c>
      <c r="E152" s="1">
        <v>3.2835000000000001</v>
      </c>
      <c r="F152" s="1">
        <v>3.3746</v>
      </c>
      <c r="G152" s="1">
        <v>3.0669</v>
      </c>
      <c r="H152" s="1">
        <v>3.3029000000000002</v>
      </c>
      <c r="I152" s="1">
        <v>3.7719</v>
      </c>
      <c r="J152" s="1">
        <v>3.5680000000000001</v>
      </c>
      <c r="K152" s="1">
        <v>3.8643999999999998</v>
      </c>
      <c r="L152" s="1">
        <v>3.7833999999999999</v>
      </c>
      <c r="M152" s="1">
        <v>3.4325999999999999</v>
      </c>
      <c r="N152" s="1">
        <v>3.7564000000000002</v>
      </c>
      <c r="O152" s="1">
        <v>3.6349999999999998</v>
      </c>
      <c r="P152" s="1">
        <v>4.0056000000000003</v>
      </c>
      <c r="Q152" s="1">
        <v>4.4203000000000001</v>
      </c>
      <c r="R152" s="1">
        <v>3.8599000000000001</v>
      </c>
      <c r="S152" s="1">
        <v>4.0170000000000003</v>
      </c>
      <c r="T152" s="1">
        <v>3.7349999999999999</v>
      </c>
      <c r="U152" s="1">
        <v>3.8439999999999999</v>
      </c>
      <c r="V152" s="1">
        <v>3.7069999999999999</v>
      </c>
      <c r="W152" s="1">
        <v>3.4424000000000001</v>
      </c>
      <c r="X152" s="1">
        <f t="shared" si="18"/>
        <v>3.6763649999999997</v>
      </c>
      <c r="Y152" s="1">
        <f t="shared" si="22"/>
        <v>0.30699861867510264</v>
      </c>
      <c r="Z152" s="1">
        <f t="shared" si="19"/>
        <v>8.3506022572596201</v>
      </c>
      <c r="AA152" s="1">
        <f t="shared" si="20"/>
        <v>3.0669</v>
      </c>
      <c r="AB152" s="1">
        <f t="shared" si="21"/>
        <v>4.4203000000000001</v>
      </c>
    </row>
    <row r="153" spans="1:28">
      <c r="A153" t="s">
        <v>44</v>
      </c>
      <c r="B153" t="s">
        <v>36</v>
      </c>
      <c r="C153" t="s">
        <v>31</v>
      </c>
      <c r="D153" s="1">
        <v>4.7153999999999998</v>
      </c>
      <c r="E153" s="1">
        <v>5.8666</v>
      </c>
      <c r="F153" s="1">
        <v>5.9810999999999996</v>
      </c>
      <c r="G153" s="1">
        <v>6.6680000000000001</v>
      </c>
      <c r="H153" s="1">
        <v>6.0625999999999998</v>
      </c>
      <c r="I153" s="1">
        <v>5.6737000000000002</v>
      </c>
      <c r="J153" s="1">
        <v>5.1111000000000004</v>
      </c>
      <c r="K153" s="1">
        <v>6.1928000000000001</v>
      </c>
      <c r="L153" s="1">
        <v>6.4496000000000002</v>
      </c>
      <c r="M153" s="1">
        <v>5.3623000000000003</v>
      </c>
      <c r="N153" s="1">
        <v>6.0221</v>
      </c>
      <c r="O153" s="1">
        <v>5.7095000000000002</v>
      </c>
      <c r="P153" s="1">
        <v>5.9869000000000003</v>
      </c>
      <c r="Q153" s="1">
        <v>5.4550999999999998</v>
      </c>
      <c r="R153" s="1">
        <v>5.2850999999999999</v>
      </c>
      <c r="S153" s="1">
        <v>6.6063999999999998</v>
      </c>
      <c r="T153" s="1">
        <v>5.3875000000000002</v>
      </c>
      <c r="U153" s="1">
        <v>6.0898000000000003</v>
      </c>
      <c r="V153" s="1">
        <v>5.22</v>
      </c>
      <c r="W153" s="1">
        <v>6.2732999999999999</v>
      </c>
      <c r="X153" s="1">
        <f t="shared" si="18"/>
        <v>5.8059450000000004</v>
      </c>
      <c r="Y153" s="1">
        <f t="shared" si="22"/>
        <v>0.52490683130688209</v>
      </c>
      <c r="Z153" s="1">
        <f t="shared" si="19"/>
        <v>9.0408509089714428</v>
      </c>
      <c r="AA153" s="1">
        <f t="shared" si="20"/>
        <v>4.7153999999999998</v>
      </c>
      <c r="AB153" s="1">
        <f t="shared" si="21"/>
        <v>6.6680000000000001</v>
      </c>
    </row>
    <row r="154" spans="1:28">
      <c r="A154" t="s">
        <v>44</v>
      </c>
      <c r="B154" t="s">
        <v>36</v>
      </c>
      <c r="C154" t="s">
        <v>32</v>
      </c>
      <c r="D154" s="1">
        <v>7.1208</v>
      </c>
      <c r="E154" s="1">
        <v>7.5270000000000001</v>
      </c>
      <c r="F154" s="1">
        <v>8.2034000000000002</v>
      </c>
      <c r="G154" s="1">
        <v>7.5260999999999996</v>
      </c>
      <c r="H154" s="1">
        <v>7.9276</v>
      </c>
      <c r="I154" s="1">
        <v>7.6306000000000003</v>
      </c>
      <c r="J154" s="1">
        <v>7.2263999999999999</v>
      </c>
      <c r="K154" s="1">
        <v>8.5164000000000009</v>
      </c>
      <c r="L154" s="1">
        <v>7.4702000000000002</v>
      </c>
      <c r="M154" s="1">
        <v>7.7043999999999997</v>
      </c>
      <c r="N154" s="1">
        <v>7.8710000000000004</v>
      </c>
      <c r="O154" s="1">
        <v>7.3760000000000003</v>
      </c>
      <c r="P154" s="1">
        <v>7.6744000000000003</v>
      </c>
      <c r="Q154" s="1">
        <v>6.1352000000000002</v>
      </c>
      <c r="R154" s="1">
        <v>8.9575999999999993</v>
      </c>
      <c r="S154" s="1">
        <v>8.4986999999999995</v>
      </c>
      <c r="T154" s="1">
        <v>9.1463000000000001</v>
      </c>
      <c r="U154" s="1">
        <v>8.1829000000000001</v>
      </c>
      <c r="V154" s="1">
        <v>9.6865000000000006</v>
      </c>
      <c r="W154" s="1">
        <v>8.0543999999999993</v>
      </c>
      <c r="X154" s="1">
        <f t="shared" si="18"/>
        <v>7.9217949999999986</v>
      </c>
      <c r="Y154" s="1">
        <f t="shared" si="22"/>
        <v>0.79024160094772355</v>
      </c>
      <c r="Z154" s="1">
        <f t="shared" si="19"/>
        <v>9.9755371219240558</v>
      </c>
      <c r="AA154" s="1">
        <f t="shared" si="20"/>
        <v>6.1352000000000002</v>
      </c>
      <c r="AB154" s="1">
        <f t="shared" si="21"/>
        <v>9.6865000000000006</v>
      </c>
    </row>
    <row r="155" spans="1:28">
      <c r="A155" t="s">
        <v>44</v>
      </c>
      <c r="B155" t="s">
        <v>36</v>
      </c>
      <c r="C155" t="s">
        <v>33</v>
      </c>
      <c r="D155" s="1">
        <v>10.3802</v>
      </c>
      <c r="E155" s="1">
        <v>12.0053</v>
      </c>
      <c r="F155" s="1">
        <v>11.130599999999999</v>
      </c>
      <c r="G155" s="1">
        <v>10.545500000000001</v>
      </c>
      <c r="H155" s="1">
        <v>10.7949</v>
      </c>
      <c r="I155" s="1">
        <v>10.908099999999999</v>
      </c>
      <c r="J155" s="1">
        <v>10.709899999999999</v>
      </c>
      <c r="K155" s="1">
        <v>11.011799999999999</v>
      </c>
      <c r="L155" s="1">
        <v>10.585599999999999</v>
      </c>
      <c r="M155" s="1">
        <v>11.319599999999999</v>
      </c>
      <c r="N155" s="1">
        <v>11.5943</v>
      </c>
      <c r="O155" s="1">
        <v>12.738099999999999</v>
      </c>
      <c r="P155" s="1">
        <v>10.2506</v>
      </c>
      <c r="Q155" s="1">
        <v>11.202500000000001</v>
      </c>
      <c r="R155" s="1">
        <v>10.574999999999999</v>
      </c>
      <c r="S155" s="1">
        <v>10.665100000000001</v>
      </c>
      <c r="T155" s="1">
        <v>9.2713999999999999</v>
      </c>
      <c r="U155" s="1">
        <v>11.660500000000001</v>
      </c>
      <c r="V155" s="1">
        <v>10.728</v>
      </c>
      <c r="W155" s="1">
        <v>9.8955000000000002</v>
      </c>
      <c r="X155" s="1">
        <f t="shared" si="18"/>
        <v>10.898624999999999</v>
      </c>
      <c r="Y155" s="1">
        <f t="shared" si="22"/>
        <v>0.75426316423450812</v>
      </c>
      <c r="Z155" s="1">
        <f t="shared" si="19"/>
        <v>6.9207185698609521</v>
      </c>
      <c r="AA155" s="1">
        <f t="shared" si="20"/>
        <v>9.2713999999999999</v>
      </c>
      <c r="AB155" s="1">
        <f t="shared" si="21"/>
        <v>12.738099999999999</v>
      </c>
    </row>
    <row r="156" spans="1:28">
      <c r="A156" t="s">
        <v>44</v>
      </c>
      <c r="B156" t="s">
        <v>36</v>
      </c>
      <c r="C156" t="s">
        <v>34</v>
      </c>
      <c r="D156" s="1">
        <v>13.210900000000001</v>
      </c>
      <c r="E156" s="1">
        <v>12.4297</v>
      </c>
      <c r="F156" s="1">
        <v>13.3992</v>
      </c>
      <c r="G156" s="1">
        <v>13.3203</v>
      </c>
      <c r="H156" s="1">
        <v>13.162000000000001</v>
      </c>
      <c r="I156" s="1">
        <v>12.151999999999999</v>
      </c>
      <c r="J156" s="1">
        <v>13.334099999999999</v>
      </c>
      <c r="K156" s="1">
        <v>12.950100000000001</v>
      </c>
      <c r="L156" s="1">
        <v>12.513999999999999</v>
      </c>
      <c r="M156" s="1">
        <v>12.9503</v>
      </c>
      <c r="N156" s="1">
        <v>13.2827</v>
      </c>
      <c r="O156" s="1">
        <v>12.596399999999999</v>
      </c>
      <c r="P156" s="1">
        <v>12.722899999999999</v>
      </c>
      <c r="Q156" s="1">
        <v>12.0578</v>
      </c>
      <c r="R156" s="1">
        <v>12.331</v>
      </c>
      <c r="S156" s="1">
        <v>12.9161</v>
      </c>
      <c r="T156" s="1">
        <v>13.237</v>
      </c>
      <c r="U156" s="1">
        <v>12.5753</v>
      </c>
      <c r="V156" s="1">
        <v>12.719200000000001</v>
      </c>
      <c r="W156" s="1">
        <v>11.991300000000001</v>
      </c>
      <c r="X156" s="1">
        <f t="shared" si="18"/>
        <v>12.792615</v>
      </c>
      <c r="Y156" s="1">
        <f t="shared" si="22"/>
        <v>0.45098902457762063</v>
      </c>
      <c r="Z156" s="1">
        <f t="shared" si="19"/>
        <v>3.5253857368303563</v>
      </c>
      <c r="AA156" s="1">
        <f t="shared" si="20"/>
        <v>11.991300000000001</v>
      </c>
      <c r="AB156" s="1">
        <f t="shared" si="21"/>
        <v>13.3992</v>
      </c>
    </row>
    <row r="157" spans="1:28">
      <c r="A157" t="s">
        <v>44</v>
      </c>
      <c r="B157" t="s">
        <v>37</v>
      </c>
      <c r="C157" t="s">
        <v>30</v>
      </c>
      <c r="D157" s="1">
        <v>3.2774999999999999</v>
      </c>
      <c r="E157" s="1">
        <v>3.7117</v>
      </c>
      <c r="F157" s="1">
        <v>3.6352000000000002</v>
      </c>
      <c r="G157" s="1">
        <v>3.6490999999999998</v>
      </c>
      <c r="H157" s="1">
        <v>3.3344999999999998</v>
      </c>
      <c r="I157" s="1">
        <v>3.2330999999999999</v>
      </c>
      <c r="J157" s="1">
        <v>3.6164999999999998</v>
      </c>
      <c r="K157" s="1">
        <v>3.2103999999999999</v>
      </c>
      <c r="L157" s="1">
        <v>2.9413999999999998</v>
      </c>
      <c r="M157" s="1">
        <v>3.3546</v>
      </c>
      <c r="N157" s="1">
        <v>3.5238</v>
      </c>
      <c r="O157" s="1">
        <v>3.1829000000000001</v>
      </c>
      <c r="P157" s="1">
        <v>2.9251999999999998</v>
      </c>
      <c r="Q157" s="1">
        <v>3.4249999999999998</v>
      </c>
      <c r="R157" s="1">
        <v>2.7119</v>
      </c>
      <c r="S157" s="1">
        <v>3.4049</v>
      </c>
      <c r="T157" s="1">
        <v>3.3772000000000002</v>
      </c>
      <c r="U157" s="1">
        <v>2.9296000000000002</v>
      </c>
      <c r="V157" s="1">
        <v>3.3277000000000001</v>
      </c>
      <c r="W157" s="1">
        <v>3.1503999999999999</v>
      </c>
      <c r="X157" s="1">
        <f t="shared" si="18"/>
        <v>3.2961299999999993</v>
      </c>
      <c r="Y157" s="1">
        <f t="shared" si="22"/>
        <v>0.27071472672013591</v>
      </c>
      <c r="Z157" s="1">
        <f t="shared" si="19"/>
        <v>8.2131083033780818</v>
      </c>
      <c r="AA157" s="1">
        <f t="shared" si="20"/>
        <v>2.7119</v>
      </c>
      <c r="AB157" s="1">
        <f t="shared" si="21"/>
        <v>3.7117</v>
      </c>
    </row>
    <row r="158" spans="1:28">
      <c r="A158" t="s">
        <v>44</v>
      </c>
      <c r="B158" t="s">
        <v>37</v>
      </c>
      <c r="C158" t="s">
        <v>31</v>
      </c>
      <c r="D158" s="1">
        <v>5.5415999999999999</v>
      </c>
      <c r="E158" s="1">
        <v>5.2671999999999999</v>
      </c>
      <c r="F158" s="1">
        <v>5.3156999999999996</v>
      </c>
      <c r="G158" s="1">
        <v>5.7618999999999998</v>
      </c>
      <c r="H158" s="1">
        <v>5.2709999999999999</v>
      </c>
      <c r="I158" s="1">
        <v>5.2020999999999997</v>
      </c>
      <c r="J158" s="1">
        <v>5.4978999999999996</v>
      </c>
      <c r="K158" s="1">
        <v>4.6292</v>
      </c>
      <c r="L158" s="1">
        <v>5.2830000000000004</v>
      </c>
      <c r="M158" s="1">
        <v>5.2</v>
      </c>
      <c r="N158" s="1">
        <v>5.3211000000000004</v>
      </c>
      <c r="O158" s="1">
        <v>4.7191999999999998</v>
      </c>
      <c r="P158" s="1">
        <v>4.931</v>
      </c>
      <c r="Q158" s="1">
        <v>5.1067999999999998</v>
      </c>
      <c r="R158" s="1">
        <v>4.6715999999999998</v>
      </c>
      <c r="S158" s="1">
        <v>5.0669000000000004</v>
      </c>
      <c r="T158" s="1">
        <v>4.9748000000000001</v>
      </c>
      <c r="U158" s="1">
        <v>5.8505000000000003</v>
      </c>
      <c r="V158" s="1">
        <v>5.2099000000000002</v>
      </c>
      <c r="W158" s="1">
        <v>5.2458999999999998</v>
      </c>
      <c r="X158" s="1">
        <f t="shared" si="18"/>
        <v>5.2033649999999998</v>
      </c>
      <c r="Y158" s="1">
        <f t="shared" si="22"/>
        <v>0.32252807837784492</v>
      </c>
      <c r="Z158" s="1">
        <f t="shared" si="19"/>
        <v>6.1984519321217126</v>
      </c>
      <c r="AA158" s="1">
        <f t="shared" si="20"/>
        <v>4.6292</v>
      </c>
      <c r="AB158" s="1">
        <f t="shared" si="21"/>
        <v>5.8505000000000003</v>
      </c>
    </row>
    <row r="159" spans="1:28">
      <c r="A159" t="s">
        <v>44</v>
      </c>
      <c r="B159" t="s">
        <v>37</v>
      </c>
      <c r="C159" t="s">
        <v>32</v>
      </c>
      <c r="D159" s="1">
        <v>7.4916999999999998</v>
      </c>
      <c r="E159" s="1">
        <v>6.7404999999999999</v>
      </c>
      <c r="F159" s="1">
        <v>7.2026000000000003</v>
      </c>
      <c r="G159" s="1">
        <v>7.2676999999999996</v>
      </c>
      <c r="H159" s="1">
        <v>7.2209000000000003</v>
      </c>
      <c r="I159" s="1">
        <v>6.9814999999999996</v>
      </c>
      <c r="J159" s="1">
        <v>7.6675000000000004</v>
      </c>
      <c r="K159" s="1">
        <v>6.9652000000000003</v>
      </c>
      <c r="L159" s="1">
        <v>7.3013000000000003</v>
      </c>
      <c r="M159" s="1">
        <v>7.4377000000000004</v>
      </c>
      <c r="N159" s="1">
        <v>6.8807</v>
      </c>
      <c r="O159" s="1">
        <v>7.4218000000000002</v>
      </c>
      <c r="P159" s="1">
        <v>6.7691999999999997</v>
      </c>
      <c r="Q159" s="1">
        <v>6.8846999999999996</v>
      </c>
      <c r="R159" s="1">
        <v>7.0610999999999997</v>
      </c>
      <c r="S159" s="1">
        <v>7.1651999999999996</v>
      </c>
      <c r="T159" s="1">
        <v>7.8189000000000002</v>
      </c>
      <c r="U159" s="1">
        <v>7.5967000000000002</v>
      </c>
      <c r="V159" s="1">
        <v>7.1425999999999998</v>
      </c>
      <c r="W159" s="1">
        <v>7.3712</v>
      </c>
      <c r="X159" s="1">
        <f t="shared" si="18"/>
        <v>7.2194349999999998</v>
      </c>
      <c r="Y159" s="1">
        <f t="shared" si="22"/>
        <v>0.30013691134652482</v>
      </c>
      <c r="Z159" s="1">
        <f t="shared" si="19"/>
        <v>4.1573462652759501</v>
      </c>
      <c r="AA159" s="1">
        <f t="shared" si="20"/>
        <v>6.7404999999999999</v>
      </c>
      <c r="AB159" s="1">
        <f t="shared" si="21"/>
        <v>7.8189000000000002</v>
      </c>
    </row>
    <row r="160" spans="1:28">
      <c r="A160" t="s">
        <v>44</v>
      </c>
      <c r="B160" t="s">
        <v>37</v>
      </c>
      <c r="C160" t="s">
        <v>33</v>
      </c>
      <c r="D160" s="1">
        <v>9.8962000000000003</v>
      </c>
      <c r="E160" s="1">
        <v>9.2845999999999993</v>
      </c>
      <c r="F160" s="1">
        <v>9.5754000000000001</v>
      </c>
      <c r="G160" s="1">
        <v>9.5584000000000007</v>
      </c>
      <c r="H160" s="1">
        <v>10.068</v>
      </c>
      <c r="I160" s="1">
        <v>9.5722000000000005</v>
      </c>
      <c r="J160" s="1">
        <v>9.7398000000000007</v>
      </c>
      <c r="K160" s="1">
        <v>10.513999999999999</v>
      </c>
      <c r="L160" s="1">
        <v>10.065300000000001</v>
      </c>
      <c r="M160" s="1">
        <v>9.8986999999999998</v>
      </c>
      <c r="N160" s="1">
        <v>10.159599999999999</v>
      </c>
      <c r="O160" s="1">
        <v>10.057700000000001</v>
      </c>
      <c r="P160" s="1">
        <v>10.090999999999999</v>
      </c>
      <c r="Q160" s="1">
        <v>10.0953</v>
      </c>
      <c r="R160" s="1">
        <v>10.379099999999999</v>
      </c>
      <c r="S160" s="1">
        <v>9.8826000000000001</v>
      </c>
      <c r="T160" s="1">
        <v>9.5383999999999993</v>
      </c>
      <c r="U160" s="1">
        <v>9.8017000000000003</v>
      </c>
      <c r="V160" s="1">
        <v>9.7772000000000006</v>
      </c>
      <c r="W160" s="1">
        <v>10.006500000000001</v>
      </c>
      <c r="X160" s="1">
        <f t="shared" si="18"/>
        <v>9.8980849999999982</v>
      </c>
      <c r="Y160" s="1">
        <f t="shared" si="22"/>
        <v>0.30174407816977328</v>
      </c>
      <c r="Z160" s="1">
        <f t="shared" si="19"/>
        <v>3.0485096679789407</v>
      </c>
      <c r="AA160" s="1">
        <f t="shared" si="20"/>
        <v>9.2845999999999993</v>
      </c>
      <c r="AB160" s="1">
        <f t="shared" si="21"/>
        <v>10.513999999999999</v>
      </c>
    </row>
    <row r="161" spans="1:28">
      <c r="A161" t="s">
        <v>44</v>
      </c>
      <c r="B161" t="s">
        <v>37</v>
      </c>
      <c r="C161" t="s">
        <v>34</v>
      </c>
      <c r="D161" s="1">
        <v>11.446999999999999</v>
      </c>
      <c r="E161" s="1">
        <v>11.373799999999999</v>
      </c>
      <c r="F161" s="1">
        <v>10.799799999999999</v>
      </c>
      <c r="G161" s="1">
        <v>10.6874</v>
      </c>
      <c r="H161" s="1">
        <v>11.7273</v>
      </c>
      <c r="I161" s="1">
        <v>11.1731</v>
      </c>
      <c r="J161" s="1">
        <v>12.3262</v>
      </c>
      <c r="K161" s="1">
        <v>12.119400000000001</v>
      </c>
      <c r="L161" s="1">
        <v>12.5876</v>
      </c>
      <c r="M161" s="1">
        <v>12.2691</v>
      </c>
      <c r="N161" s="1">
        <v>11.135</v>
      </c>
      <c r="O161" s="1">
        <v>12.1722</v>
      </c>
      <c r="P161" s="1">
        <v>10.685</v>
      </c>
      <c r="Q161" s="1">
        <v>12.509499999999999</v>
      </c>
      <c r="R161" s="1">
        <v>11.761900000000001</v>
      </c>
      <c r="S161" s="1">
        <v>11.7662</v>
      </c>
      <c r="T161" s="1">
        <v>10.1295</v>
      </c>
      <c r="U161" s="1">
        <v>12.0862</v>
      </c>
      <c r="V161" s="1">
        <v>11.198499999999999</v>
      </c>
      <c r="W161" s="1">
        <v>10.1371</v>
      </c>
      <c r="X161" s="1">
        <f t="shared" si="18"/>
        <v>11.504589999999999</v>
      </c>
      <c r="Y161" s="1">
        <f t="shared" si="22"/>
        <v>0.75205821576174325</v>
      </c>
      <c r="Z161" s="1">
        <f t="shared" si="19"/>
        <v>6.5370275321566726</v>
      </c>
      <c r="AA161" s="1">
        <f t="shared" si="20"/>
        <v>10.1295</v>
      </c>
      <c r="AB161" s="1">
        <f t="shared" si="21"/>
        <v>12.5876</v>
      </c>
    </row>
    <row r="162" spans="1:28">
      <c r="A162" t="s">
        <v>44</v>
      </c>
      <c r="B162" t="s">
        <v>38</v>
      </c>
      <c r="C162" t="s">
        <v>30</v>
      </c>
      <c r="D162" s="1">
        <v>2.8853</v>
      </c>
      <c r="E162" s="1">
        <v>2.8473000000000002</v>
      </c>
      <c r="F162" s="1">
        <v>2.8174999999999999</v>
      </c>
      <c r="G162" s="1">
        <v>3.0560999999999998</v>
      </c>
      <c r="H162" s="1">
        <v>2.8296999999999999</v>
      </c>
      <c r="I162" s="1">
        <v>2.8163999999999998</v>
      </c>
      <c r="J162" s="1">
        <v>2.9725999999999999</v>
      </c>
      <c r="K162" s="1">
        <v>3.0398999999999998</v>
      </c>
      <c r="L162" s="1">
        <v>2.9487000000000001</v>
      </c>
      <c r="M162" s="1">
        <v>2.8433999999999999</v>
      </c>
      <c r="N162" s="1">
        <v>2.8380000000000001</v>
      </c>
      <c r="O162" s="1">
        <v>2.8504999999999998</v>
      </c>
      <c r="P162" s="1">
        <v>2.9293999999999998</v>
      </c>
      <c r="Q162" s="1">
        <v>2.9584999999999999</v>
      </c>
      <c r="R162" s="1">
        <v>2.8006000000000002</v>
      </c>
      <c r="S162" s="1">
        <v>2.8898000000000001</v>
      </c>
      <c r="T162" s="1">
        <v>2.9220000000000002</v>
      </c>
      <c r="U162" s="1">
        <v>2.7284000000000002</v>
      </c>
      <c r="V162" s="1">
        <v>3.0105</v>
      </c>
      <c r="W162" s="1">
        <v>3.0121000000000002</v>
      </c>
      <c r="X162" s="1">
        <f t="shared" ref="X162:X193" si="23">AVERAGE(D162:W162)</f>
        <v>2.8998350000000004</v>
      </c>
      <c r="Y162" s="1">
        <f t="shared" si="22"/>
        <v>8.9380277319351636E-2</v>
      </c>
      <c r="Z162" s="1">
        <f t="shared" ref="Z162:Z193" si="24">IFERROR(Y162/X162*100,"")</f>
        <v>3.0822538978718317</v>
      </c>
      <c r="AA162" s="1">
        <f t="shared" ref="AA162:AA176" si="25">MIN(D162:W162)</f>
        <v>2.7284000000000002</v>
      </c>
      <c r="AB162" s="1">
        <f t="shared" ref="AB162:AB176" si="26">MAX(D162:W162)</f>
        <v>3.0560999999999998</v>
      </c>
    </row>
    <row r="163" spans="1:28">
      <c r="A163" t="s">
        <v>44</v>
      </c>
      <c r="B163" t="s">
        <v>38</v>
      </c>
      <c r="C163" t="s">
        <v>31</v>
      </c>
      <c r="D163" s="1">
        <v>5.0658000000000003</v>
      </c>
      <c r="E163" s="1">
        <v>4.0629999999999997</v>
      </c>
      <c r="F163" s="1">
        <v>4.5091000000000001</v>
      </c>
      <c r="G163" s="1">
        <v>4.3586</v>
      </c>
      <c r="H163" s="1">
        <v>4.7542999999999997</v>
      </c>
      <c r="I163" s="1">
        <v>5.5655000000000001</v>
      </c>
      <c r="J163" s="1">
        <v>4.8983999999999996</v>
      </c>
      <c r="K163" s="1">
        <v>3.4619</v>
      </c>
      <c r="L163" s="1">
        <v>4.7713999999999999</v>
      </c>
      <c r="M163" s="1">
        <v>4.9012000000000002</v>
      </c>
      <c r="N163" s="1">
        <v>4.6722999999999999</v>
      </c>
      <c r="O163" s="1">
        <v>3.8050000000000002</v>
      </c>
      <c r="P163" s="1">
        <v>4.5895000000000001</v>
      </c>
      <c r="Q163" s="1">
        <v>4.2240000000000002</v>
      </c>
      <c r="R163" s="1">
        <v>3.7501000000000002</v>
      </c>
      <c r="S163" s="1">
        <v>4.3941999999999997</v>
      </c>
      <c r="T163" s="1">
        <v>4.7760999999999996</v>
      </c>
      <c r="U163" s="1">
        <v>4.4032999999999998</v>
      </c>
      <c r="V163" s="1">
        <v>4.0522999999999998</v>
      </c>
      <c r="W163" s="1">
        <v>4.6802999999999999</v>
      </c>
      <c r="X163" s="1">
        <f t="shared" si="23"/>
        <v>4.4848150000000002</v>
      </c>
      <c r="Y163" s="1">
        <f t="shared" si="22"/>
        <v>0.49664578638258144</v>
      </c>
      <c r="Z163" s="1">
        <f t="shared" si="24"/>
        <v>11.073941430863513</v>
      </c>
      <c r="AA163" s="1">
        <f t="shared" si="25"/>
        <v>3.4619</v>
      </c>
      <c r="AB163" s="1">
        <f t="shared" si="26"/>
        <v>5.5655000000000001</v>
      </c>
    </row>
    <row r="164" spans="1:28">
      <c r="A164" t="s">
        <v>44</v>
      </c>
      <c r="B164" t="s">
        <v>38</v>
      </c>
      <c r="C164" t="s">
        <v>32</v>
      </c>
      <c r="D164" s="1">
        <v>6.5343</v>
      </c>
      <c r="E164" s="1">
        <v>6.0861999999999998</v>
      </c>
      <c r="F164" s="1">
        <v>7.0495999999999999</v>
      </c>
      <c r="G164" s="1">
        <v>6.4226000000000001</v>
      </c>
      <c r="H164" s="1">
        <v>7.0125000000000002</v>
      </c>
      <c r="I164" s="1">
        <v>6.4661</v>
      </c>
      <c r="J164" s="1">
        <v>6.4561000000000002</v>
      </c>
      <c r="K164" s="1">
        <v>5.7370000000000001</v>
      </c>
      <c r="L164" s="1">
        <v>6.7934000000000001</v>
      </c>
      <c r="M164" s="1">
        <v>5.9055999999999997</v>
      </c>
      <c r="N164" s="1">
        <v>6.4648000000000003</v>
      </c>
      <c r="O164" s="1">
        <v>5.8944999999999999</v>
      </c>
      <c r="P164" s="1">
        <v>5.5534999999999997</v>
      </c>
      <c r="Q164" s="1">
        <v>7.0580999999999996</v>
      </c>
      <c r="R164" s="1">
        <v>6.5793999999999997</v>
      </c>
      <c r="S164" s="1">
        <v>6.1420000000000003</v>
      </c>
      <c r="T164" s="1">
        <v>7.1416000000000004</v>
      </c>
      <c r="U164" s="1">
        <v>6.3806000000000003</v>
      </c>
      <c r="V164" s="1">
        <v>6.4869000000000003</v>
      </c>
      <c r="W164" s="1">
        <v>5.7199</v>
      </c>
      <c r="X164" s="1">
        <f t="shared" si="23"/>
        <v>6.3942349999999983</v>
      </c>
      <c r="Y164" s="1">
        <f t="shared" si="22"/>
        <v>0.4750811446202472</v>
      </c>
      <c r="Z164" s="1">
        <f t="shared" si="24"/>
        <v>7.4298355412374946</v>
      </c>
      <c r="AA164" s="1">
        <f t="shared" si="25"/>
        <v>5.5534999999999997</v>
      </c>
      <c r="AB164" s="1">
        <f t="shared" si="26"/>
        <v>7.1416000000000004</v>
      </c>
    </row>
    <row r="165" spans="1:28">
      <c r="A165" t="s">
        <v>44</v>
      </c>
      <c r="B165" t="s">
        <v>38</v>
      </c>
      <c r="C165" t="s">
        <v>33</v>
      </c>
      <c r="D165" s="1">
        <v>6.6237000000000004</v>
      </c>
      <c r="E165" s="1">
        <v>8.6712000000000007</v>
      </c>
      <c r="F165" s="1">
        <v>9.3678000000000008</v>
      </c>
      <c r="G165" s="1">
        <v>8.4061000000000003</v>
      </c>
      <c r="H165" s="1">
        <v>8.1610999999999994</v>
      </c>
      <c r="I165" s="1">
        <v>9.3353999999999999</v>
      </c>
      <c r="J165" s="1">
        <v>8.2683999999999997</v>
      </c>
      <c r="K165" s="1">
        <v>8.0056999999999992</v>
      </c>
      <c r="L165" s="1">
        <v>10.6387</v>
      </c>
      <c r="M165" s="1">
        <v>7.1044</v>
      </c>
      <c r="N165" s="1">
        <v>7.7934000000000001</v>
      </c>
      <c r="O165" s="1">
        <v>9.4239999999999995</v>
      </c>
      <c r="P165" s="1">
        <v>10.2889</v>
      </c>
      <c r="Q165" s="1">
        <v>8.7624999999999993</v>
      </c>
      <c r="R165" s="1">
        <v>7.5</v>
      </c>
      <c r="S165" s="1">
        <v>8.0404999999999998</v>
      </c>
      <c r="T165" s="1">
        <v>8.7536000000000005</v>
      </c>
      <c r="U165" s="1">
        <v>9.8825000000000003</v>
      </c>
      <c r="V165" s="1">
        <v>9.6539000000000001</v>
      </c>
      <c r="W165" s="1">
        <v>9.3773999999999997</v>
      </c>
      <c r="X165" s="1">
        <f t="shared" si="23"/>
        <v>8.7029600000000009</v>
      </c>
      <c r="Y165" s="1">
        <f t="shared" si="22"/>
        <v>1.0520783658024055</v>
      </c>
      <c r="Z165" s="1">
        <f t="shared" si="24"/>
        <v>12.088741828095332</v>
      </c>
      <c r="AA165" s="1">
        <f t="shared" si="25"/>
        <v>6.6237000000000004</v>
      </c>
      <c r="AB165" s="1">
        <f t="shared" si="26"/>
        <v>10.6387</v>
      </c>
    </row>
    <row r="166" spans="1:28">
      <c r="A166" t="s">
        <v>44</v>
      </c>
      <c r="B166" t="s">
        <v>38</v>
      </c>
      <c r="C166" t="s">
        <v>34</v>
      </c>
      <c r="D166" s="1">
        <v>11.097899999999999</v>
      </c>
      <c r="E166" s="1">
        <v>10.979900000000001</v>
      </c>
      <c r="F166" s="1">
        <v>10.5886</v>
      </c>
      <c r="G166" s="1">
        <v>8.7192000000000007</v>
      </c>
      <c r="H166" s="1">
        <v>10.111800000000001</v>
      </c>
      <c r="I166" s="1">
        <v>11.6121</v>
      </c>
      <c r="J166" s="1">
        <v>10.3322</v>
      </c>
      <c r="K166" s="1">
        <v>10.37</v>
      </c>
      <c r="L166" s="1">
        <v>10.6495</v>
      </c>
      <c r="M166" s="1">
        <v>9.9237000000000002</v>
      </c>
      <c r="N166" s="1">
        <v>10.498699999999999</v>
      </c>
      <c r="O166" s="1">
        <v>9.9163999999999994</v>
      </c>
      <c r="P166" s="1">
        <v>9.7423000000000002</v>
      </c>
      <c r="Q166" s="1">
        <v>10.5266</v>
      </c>
      <c r="R166" s="1">
        <v>10.9176</v>
      </c>
      <c r="S166" s="1">
        <v>9.1805000000000003</v>
      </c>
      <c r="T166" s="1">
        <v>9.2786000000000008</v>
      </c>
      <c r="U166" s="1">
        <v>10.076000000000001</v>
      </c>
      <c r="V166" s="1">
        <v>10.114699999999999</v>
      </c>
      <c r="W166" s="1">
        <v>11.2112</v>
      </c>
      <c r="X166" s="1">
        <f t="shared" si="23"/>
        <v>10.292375</v>
      </c>
      <c r="Y166" s="1">
        <f t="shared" si="22"/>
        <v>0.71995802646294649</v>
      </c>
      <c r="Z166" s="1">
        <f t="shared" si="24"/>
        <v>6.9950621354444094</v>
      </c>
      <c r="AA166" s="1">
        <f t="shared" si="25"/>
        <v>8.7192000000000007</v>
      </c>
      <c r="AB166" s="1">
        <f t="shared" si="26"/>
        <v>11.6121</v>
      </c>
    </row>
    <row r="167" spans="1:28">
      <c r="A167" t="s">
        <v>44</v>
      </c>
      <c r="B167" t="s">
        <v>39</v>
      </c>
      <c r="C167" t="s">
        <v>30</v>
      </c>
      <c r="D167" s="1">
        <v>2.4525999999999999</v>
      </c>
      <c r="E167" s="1">
        <v>2.6109</v>
      </c>
      <c r="F167" s="1">
        <v>2.7113</v>
      </c>
      <c r="G167" s="1">
        <v>2.6109</v>
      </c>
      <c r="H167" s="1">
        <v>2.7058</v>
      </c>
      <c r="I167" s="1">
        <v>2.6855000000000002</v>
      </c>
      <c r="J167" s="1">
        <v>2.5411999999999999</v>
      </c>
      <c r="K167" s="1">
        <v>2.5104000000000002</v>
      </c>
      <c r="L167" s="1">
        <v>2.5709</v>
      </c>
      <c r="M167" s="1">
        <v>2.5417000000000001</v>
      </c>
      <c r="N167" s="1">
        <v>2.7429999999999999</v>
      </c>
      <c r="O167" s="1">
        <v>2.7128999999999999</v>
      </c>
      <c r="P167" s="1">
        <v>2.4491000000000001</v>
      </c>
      <c r="Q167" s="1">
        <v>2.5846</v>
      </c>
      <c r="R167" s="1">
        <v>2.5476000000000001</v>
      </c>
      <c r="S167" s="1">
        <v>2.5813000000000001</v>
      </c>
      <c r="T167" s="1">
        <v>2.6173000000000002</v>
      </c>
      <c r="U167" s="1">
        <v>2.6602000000000001</v>
      </c>
      <c r="V167" s="1">
        <v>2.4258999999999999</v>
      </c>
      <c r="W167" s="1">
        <v>2.6934</v>
      </c>
      <c r="X167" s="1">
        <f t="shared" si="23"/>
        <v>2.5978250000000003</v>
      </c>
      <c r="Y167" s="1">
        <f t="shared" si="22"/>
        <v>9.479872792284437E-2</v>
      </c>
      <c r="Z167" s="1">
        <f t="shared" si="24"/>
        <v>3.649157580777934</v>
      </c>
      <c r="AA167" s="1">
        <f t="shared" si="25"/>
        <v>2.4258999999999999</v>
      </c>
      <c r="AB167" s="1">
        <f t="shared" si="26"/>
        <v>2.7429999999999999</v>
      </c>
    </row>
    <row r="168" spans="1:28">
      <c r="A168" t="s">
        <v>44</v>
      </c>
      <c r="B168" t="s">
        <v>39</v>
      </c>
      <c r="C168" t="s">
        <v>31</v>
      </c>
      <c r="D168" s="1">
        <v>3.9823</v>
      </c>
      <c r="E168" s="1">
        <v>4.226</v>
      </c>
      <c r="F168" s="1">
        <v>3.8929999999999998</v>
      </c>
      <c r="G168" s="1">
        <v>3.7458999999999998</v>
      </c>
      <c r="H168" s="1">
        <v>4.3201999999999998</v>
      </c>
      <c r="I168" s="1">
        <v>4.0922999999999998</v>
      </c>
      <c r="J168" s="1">
        <v>4.3117999999999999</v>
      </c>
      <c r="K168" s="1">
        <v>3.6951000000000001</v>
      </c>
      <c r="L168" s="1">
        <v>4.1802000000000001</v>
      </c>
      <c r="M168" s="1">
        <v>3.9342999999999999</v>
      </c>
      <c r="N168" s="1">
        <v>4.1595000000000004</v>
      </c>
      <c r="O168" s="1">
        <v>4.3494000000000002</v>
      </c>
      <c r="P168" s="1">
        <v>3.6415999999999999</v>
      </c>
      <c r="Q168" s="1">
        <v>3.8997000000000002</v>
      </c>
      <c r="R168" s="1">
        <v>4.8491999999999997</v>
      </c>
      <c r="S168" s="1">
        <v>3.9304999999999999</v>
      </c>
      <c r="T168" s="1">
        <v>4.2247000000000003</v>
      </c>
      <c r="U168" s="1">
        <v>4.3823999999999996</v>
      </c>
      <c r="V168" s="1">
        <v>3.8180000000000001</v>
      </c>
      <c r="W168" s="1">
        <v>4.4202000000000004</v>
      </c>
      <c r="X168" s="1">
        <f t="shared" si="23"/>
        <v>4.1028149999999997</v>
      </c>
      <c r="Y168" s="1">
        <f t="shared" si="22"/>
        <v>0.29668517475777689</v>
      </c>
      <c r="Z168" s="1">
        <f t="shared" si="24"/>
        <v>7.2312588980438282</v>
      </c>
      <c r="AA168" s="1">
        <f t="shared" si="25"/>
        <v>3.6415999999999999</v>
      </c>
      <c r="AB168" s="1">
        <f t="shared" si="26"/>
        <v>4.8491999999999997</v>
      </c>
    </row>
    <row r="169" spans="1:28">
      <c r="A169" t="s">
        <v>44</v>
      </c>
      <c r="B169" t="s">
        <v>39</v>
      </c>
      <c r="C169" t="s">
        <v>32</v>
      </c>
      <c r="D169" s="1">
        <v>6.5067000000000004</v>
      </c>
      <c r="E169" s="1">
        <v>6.5697000000000001</v>
      </c>
      <c r="F169" s="1">
        <v>6.1925999999999997</v>
      </c>
      <c r="G169" s="1">
        <v>5.9757999999999996</v>
      </c>
      <c r="H169" s="1">
        <v>4.8334000000000001</v>
      </c>
      <c r="I169" s="1">
        <v>6.0099</v>
      </c>
      <c r="J169" s="1">
        <v>6.3022999999999998</v>
      </c>
      <c r="K169" s="1">
        <v>6.3502999999999998</v>
      </c>
      <c r="L169" s="1">
        <v>5</v>
      </c>
      <c r="M169" s="1">
        <v>5.8014999999999999</v>
      </c>
      <c r="N169" s="1">
        <v>6.0425000000000004</v>
      </c>
      <c r="O169" s="1">
        <v>5.8518999999999997</v>
      </c>
      <c r="P169" s="1">
        <v>6.1905999999999999</v>
      </c>
      <c r="Q169" s="1">
        <v>6.1939000000000002</v>
      </c>
      <c r="R169" s="1">
        <v>4.9699</v>
      </c>
      <c r="S169" s="1">
        <v>5.7382</v>
      </c>
      <c r="T169" s="1">
        <v>5.8494000000000002</v>
      </c>
      <c r="U169" s="1">
        <v>4.7451999999999996</v>
      </c>
      <c r="V169" s="1">
        <v>4.9680999999999997</v>
      </c>
      <c r="W169" s="1">
        <v>5.9381000000000004</v>
      </c>
      <c r="X169" s="1">
        <f t="shared" si="23"/>
        <v>5.8015000000000008</v>
      </c>
      <c r="Y169" s="1">
        <f t="shared" si="22"/>
        <v>0.57759268474737824</v>
      </c>
      <c r="Z169" s="1">
        <f t="shared" si="24"/>
        <v>9.9559197577760603</v>
      </c>
      <c r="AA169" s="1">
        <f t="shared" si="25"/>
        <v>4.7451999999999996</v>
      </c>
      <c r="AB169" s="1">
        <f t="shared" si="26"/>
        <v>6.5697000000000001</v>
      </c>
    </row>
    <row r="170" spans="1:28">
      <c r="A170" t="s">
        <v>44</v>
      </c>
      <c r="B170" t="s">
        <v>39</v>
      </c>
      <c r="C170" t="s">
        <v>33</v>
      </c>
      <c r="D170" s="1">
        <v>7.5766999999999998</v>
      </c>
      <c r="E170" s="1">
        <v>7.5106000000000002</v>
      </c>
      <c r="F170" s="1">
        <v>8.2538</v>
      </c>
      <c r="G170" s="1">
        <v>7.4203999999999999</v>
      </c>
      <c r="H170" s="1">
        <v>8.1329999999999991</v>
      </c>
      <c r="I170" s="1">
        <v>7.7344999999999997</v>
      </c>
      <c r="J170" s="1">
        <v>8.5543999999999993</v>
      </c>
      <c r="K170" s="1">
        <v>7.7245999999999997</v>
      </c>
      <c r="L170" s="1">
        <v>7.7507999999999999</v>
      </c>
      <c r="M170" s="1">
        <v>7.9775</v>
      </c>
      <c r="N170" s="1">
        <v>8.0269999999999992</v>
      </c>
      <c r="O170" s="1">
        <v>7.8036000000000003</v>
      </c>
      <c r="P170" s="1">
        <v>7.0938999999999997</v>
      </c>
      <c r="Q170" s="1">
        <v>8.1559000000000008</v>
      </c>
      <c r="R170" s="1">
        <v>7.9682000000000004</v>
      </c>
      <c r="S170" s="1">
        <v>8.1751000000000005</v>
      </c>
      <c r="T170" s="1">
        <v>7.2343999999999999</v>
      </c>
      <c r="U170" s="1">
        <v>7.6841999999999997</v>
      </c>
      <c r="V170" s="1">
        <v>7.9576000000000002</v>
      </c>
      <c r="W170" s="1">
        <v>7.2869999999999999</v>
      </c>
      <c r="X170" s="1">
        <f t="shared" si="23"/>
        <v>7.8011600000000012</v>
      </c>
      <c r="Y170" s="1">
        <f t="shared" si="22"/>
        <v>0.37519290392795912</v>
      </c>
      <c r="Z170" s="1">
        <f t="shared" si="24"/>
        <v>4.8094501834080958</v>
      </c>
      <c r="AA170" s="1">
        <f t="shared" si="25"/>
        <v>7.0938999999999997</v>
      </c>
      <c r="AB170" s="1">
        <f t="shared" si="26"/>
        <v>8.5543999999999993</v>
      </c>
    </row>
    <row r="171" spans="1:28">
      <c r="A171" t="s">
        <v>44</v>
      </c>
      <c r="B171" t="s">
        <v>39</v>
      </c>
      <c r="C171" t="s">
        <v>34</v>
      </c>
      <c r="D171" s="1">
        <v>10.099600000000001</v>
      </c>
      <c r="E171" s="1">
        <v>9.1460000000000008</v>
      </c>
      <c r="F171" s="1">
        <v>9.1602999999999994</v>
      </c>
      <c r="G171" s="1">
        <v>9.1745000000000001</v>
      </c>
      <c r="H171" s="1">
        <v>9.0366</v>
      </c>
      <c r="I171" s="1">
        <v>9.0906000000000002</v>
      </c>
      <c r="J171" s="1">
        <v>9.1601999999999997</v>
      </c>
      <c r="K171" s="1">
        <v>9.2819000000000003</v>
      </c>
      <c r="L171" s="1">
        <v>8.9207999999999998</v>
      </c>
      <c r="M171" s="1">
        <v>9.3628</v>
      </c>
      <c r="N171" s="1">
        <v>9.2970000000000006</v>
      </c>
      <c r="O171" s="1">
        <v>8.9324999999999992</v>
      </c>
      <c r="P171" s="1">
        <v>9.5318000000000005</v>
      </c>
      <c r="Q171" s="1">
        <v>9.9685000000000006</v>
      </c>
      <c r="R171" s="1">
        <v>8.9582999999999995</v>
      </c>
      <c r="S171" s="1">
        <v>9.5355000000000008</v>
      </c>
      <c r="T171" s="1">
        <v>9.1918000000000006</v>
      </c>
      <c r="U171" s="1">
        <v>9.6883999999999997</v>
      </c>
      <c r="V171" s="1">
        <v>9.0733999999999995</v>
      </c>
      <c r="W171" s="1">
        <v>9.3854000000000006</v>
      </c>
      <c r="X171" s="1">
        <f t="shared" si="23"/>
        <v>9.2997950000000014</v>
      </c>
      <c r="Y171" s="1">
        <f t="shared" si="22"/>
        <v>0.32511440168686884</v>
      </c>
      <c r="Z171" s="1">
        <f t="shared" si="24"/>
        <v>3.4959308424203845</v>
      </c>
      <c r="AA171" s="1">
        <f t="shared" si="25"/>
        <v>8.9207999999999998</v>
      </c>
      <c r="AB171" s="1">
        <f t="shared" si="26"/>
        <v>10.099600000000001</v>
      </c>
    </row>
    <row r="172" spans="1:28">
      <c r="A172" t="s">
        <v>44</v>
      </c>
      <c r="B172" t="s">
        <v>40</v>
      </c>
      <c r="C172" t="s">
        <v>30</v>
      </c>
      <c r="D172" s="1">
        <v>2.4186000000000001</v>
      </c>
      <c r="E172" s="1">
        <v>2.3641000000000001</v>
      </c>
      <c r="F172" s="1">
        <v>2.6787999999999998</v>
      </c>
      <c r="G172" s="1">
        <v>2.1690999999999998</v>
      </c>
      <c r="H172" s="1">
        <v>2.1939000000000002</v>
      </c>
      <c r="I172" s="1">
        <v>1.9744999999999999</v>
      </c>
      <c r="J172" s="1">
        <v>2.1970000000000001</v>
      </c>
      <c r="K172" s="1">
        <v>2.0381</v>
      </c>
      <c r="L172" s="1">
        <v>2.5323000000000002</v>
      </c>
      <c r="M172" s="1">
        <v>2.351</v>
      </c>
      <c r="N172" s="1">
        <v>2.3517000000000001</v>
      </c>
      <c r="O172" s="1">
        <v>2.1414</v>
      </c>
      <c r="P172" s="1">
        <v>2.2381000000000002</v>
      </c>
      <c r="Q172" s="1">
        <v>2.3858000000000001</v>
      </c>
      <c r="R172" s="1">
        <v>2.3075000000000001</v>
      </c>
      <c r="S172" s="1">
        <v>2.2987000000000002</v>
      </c>
      <c r="T172" s="1">
        <v>2.7336999999999998</v>
      </c>
      <c r="U172" s="1">
        <v>2.1402000000000001</v>
      </c>
      <c r="V172" s="1">
        <v>2.2854000000000001</v>
      </c>
      <c r="W172" s="1">
        <v>2.218</v>
      </c>
      <c r="X172" s="1">
        <f t="shared" si="23"/>
        <v>2.3008949999999997</v>
      </c>
      <c r="Y172" s="1">
        <f t="shared" si="22"/>
        <v>0.19076056768685326</v>
      </c>
      <c r="Z172" s="1">
        <f t="shared" si="24"/>
        <v>8.2907115573224033</v>
      </c>
      <c r="AA172" s="1">
        <f t="shared" si="25"/>
        <v>1.9744999999999999</v>
      </c>
      <c r="AB172" s="1">
        <f t="shared" si="26"/>
        <v>2.7336999999999998</v>
      </c>
    </row>
    <row r="173" spans="1:28">
      <c r="A173" t="s">
        <v>44</v>
      </c>
      <c r="B173" t="s">
        <v>40</v>
      </c>
      <c r="C173" t="s">
        <v>31</v>
      </c>
      <c r="D173" s="1">
        <v>4.0552999999999999</v>
      </c>
      <c r="E173" s="1">
        <v>4.1418999999999997</v>
      </c>
      <c r="F173" s="1">
        <v>3.7989000000000002</v>
      </c>
      <c r="G173" s="1">
        <v>3.4626000000000001</v>
      </c>
      <c r="H173" s="1">
        <v>4.0293999999999999</v>
      </c>
      <c r="I173" s="1">
        <v>3.5116999999999998</v>
      </c>
      <c r="J173" s="1">
        <v>3.423</v>
      </c>
      <c r="K173" s="1">
        <v>3.6768999999999998</v>
      </c>
      <c r="L173" s="1">
        <v>3.5261999999999998</v>
      </c>
      <c r="M173" s="1">
        <v>3.6103000000000001</v>
      </c>
      <c r="N173" s="1">
        <v>3.3264</v>
      </c>
      <c r="O173" s="1">
        <v>3.8525</v>
      </c>
      <c r="P173" s="1">
        <v>3.5415000000000001</v>
      </c>
      <c r="Q173" s="1">
        <v>3.8874</v>
      </c>
      <c r="R173" s="1">
        <v>3.5516000000000001</v>
      </c>
      <c r="S173" s="1">
        <v>4.0963000000000003</v>
      </c>
      <c r="T173" s="1">
        <v>3.8014000000000001</v>
      </c>
      <c r="U173" s="1">
        <v>3.4904999999999999</v>
      </c>
      <c r="V173" s="1">
        <v>3.6659999999999999</v>
      </c>
      <c r="W173" s="1">
        <v>3.6431</v>
      </c>
      <c r="X173" s="1">
        <f t="shared" si="23"/>
        <v>3.7046450000000002</v>
      </c>
      <c r="Y173" s="1">
        <f t="shared" si="22"/>
        <v>0.24142284694352312</v>
      </c>
      <c r="Z173" s="1">
        <f t="shared" si="24"/>
        <v>6.5167606327603069</v>
      </c>
      <c r="AA173" s="1">
        <f t="shared" si="25"/>
        <v>3.3264</v>
      </c>
      <c r="AB173" s="1">
        <f t="shared" si="26"/>
        <v>4.1418999999999997</v>
      </c>
    </row>
    <row r="174" spans="1:28">
      <c r="A174" t="s">
        <v>44</v>
      </c>
      <c r="B174" t="s">
        <v>40</v>
      </c>
      <c r="C174" t="s">
        <v>32</v>
      </c>
      <c r="D174" s="1">
        <v>5.6814999999999998</v>
      </c>
      <c r="E174" s="1">
        <v>5.4836</v>
      </c>
      <c r="F174" s="1">
        <v>5.657</v>
      </c>
      <c r="G174" s="1">
        <v>4.9939999999999998</v>
      </c>
      <c r="H174" s="1">
        <v>5.1475999999999997</v>
      </c>
      <c r="I174" s="1">
        <v>5.1413000000000002</v>
      </c>
      <c r="J174" s="1">
        <v>5.2840999999999996</v>
      </c>
      <c r="K174" s="1">
        <v>4.2971000000000004</v>
      </c>
      <c r="L174" s="1">
        <v>4.5446</v>
      </c>
      <c r="M174" s="1">
        <v>5.5643000000000002</v>
      </c>
      <c r="N174" s="1">
        <v>5.8015999999999996</v>
      </c>
      <c r="O174" s="1">
        <v>4.9581999999999997</v>
      </c>
      <c r="P174" s="1">
        <v>5.6741999999999999</v>
      </c>
      <c r="Q174" s="1">
        <v>5.0883000000000003</v>
      </c>
      <c r="R174" s="1">
        <v>5.7484000000000002</v>
      </c>
      <c r="S174" s="1">
        <v>4.9123999999999999</v>
      </c>
      <c r="T174" s="1">
        <v>6.1402999999999999</v>
      </c>
      <c r="U174" s="1">
        <v>4.9652000000000003</v>
      </c>
      <c r="V174" s="1">
        <v>4.9467999999999996</v>
      </c>
      <c r="W174" s="1">
        <v>5.7968000000000002</v>
      </c>
      <c r="X174" s="1">
        <f t="shared" si="23"/>
        <v>5.2913650000000008</v>
      </c>
      <c r="Y174" s="1">
        <f t="shared" si="22"/>
        <v>0.46949724092569717</v>
      </c>
      <c r="Z174" s="1">
        <f t="shared" si="24"/>
        <v>8.8728946297542723</v>
      </c>
      <c r="AA174" s="1">
        <f t="shared" si="25"/>
        <v>4.2971000000000004</v>
      </c>
      <c r="AB174" s="1">
        <f t="shared" si="26"/>
        <v>6.1402999999999999</v>
      </c>
    </row>
    <row r="175" spans="1:28">
      <c r="A175" t="s">
        <v>44</v>
      </c>
      <c r="B175" t="s">
        <v>40</v>
      </c>
      <c r="C175" t="s">
        <v>33</v>
      </c>
      <c r="D175" s="1">
        <v>7.1749999999999998</v>
      </c>
      <c r="E175" s="1">
        <v>6.4248000000000003</v>
      </c>
      <c r="F175" s="1">
        <v>7.6482000000000001</v>
      </c>
      <c r="G175" s="1">
        <v>7.8006000000000002</v>
      </c>
      <c r="H175" s="1">
        <v>7.9177</v>
      </c>
      <c r="I175" s="1">
        <v>7.8509000000000002</v>
      </c>
      <c r="J175" s="1">
        <v>8.1262000000000008</v>
      </c>
      <c r="K175" s="1">
        <v>6.4930000000000003</v>
      </c>
      <c r="L175" s="1">
        <v>7.9217000000000004</v>
      </c>
      <c r="M175" s="1">
        <v>7.4305000000000003</v>
      </c>
      <c r="N175" s="1">
        <v>5.9622000000000002</v>
      </c>
      <c r="O175" s="1">
        <v>6.8095999999999997</v>
      </c>
      <c r="P175" s="1">
        <v>7.2506000000000004</v>
      </c>
      <c r="Q175" s="1">
        <v>5.2506000000000004</v>
      </c>
      <c r="R175" s="1">
        <v>6.6959</v>
      </c>
      <c r="S175" s="1">
        <v>6.7294999999999998</v>
      </c>
      <c r="T175" s="1">
        <v>7.0082000000000004</v>
      </c>
      <c r="U175" s="1">
        <v>6.9089</v>
      </c>
      <c r="V175" s="1">
        <v>7.0498000000000003</v>
      </c>
      <c r="W175" s="1">
        <v>7.3571</v>
      </c>
      <c r="X175" s="1">
        <f t="shared" si="23"/>
        <v>7.0905500000000004</v>
      </c>
      <c r="Y175" s="1">
        <f t="shared" si="22"/>
        <v>0.72277076332388368</v>
      </c>
      <c r="Z175" s="1">
        <f t="shared" si="24"/>
        <v>10.193437227350257</v>
      </c>
      <c r="AA175" s="1">
        <f t="shared" si="25"/>
        <v>5.2506000000000004</v>
      </c>
      <c r="AB175" s="1">
        <f t="shared" si="26"/>
        <v>8.1262000000000008</v>
      </c>
    </row>
    <row r="176" spans="1:28">
      <c r="A176" t="s">
        <v>44</v>
      </c>
      <c r="B176" t="s">
        <v>40</v>
      </c>
      <c r="C176" t="s">
        <v>34</v>
      </c>
      <c r="D176" s="1">
        <v>8.7821999999999996</v>
      </c>
      <c r="E176" s="1">
        <v>7.5262000000000002</v>
      </c>
      <c r="F176" s="1">
        <v>9.7062000000000008</v>
      </c>
      <c r="G176" s="1">
        <v>9.6964000000000006</v>
      </c>
      <c r="H176" s="1">
        <v>8.4036000000000008</v>
      </c>
      <c r="I176" s="1">
        <v>7.9208999999999996</v>
      </c>
      <c r="J176" s="1">
        <v>9.3745999999999992</v>
      </c>
      <c r="K176" s="1">
        <v>8.2721</v>
      </c>
      <c r="L176" s="1">
        <v>9.1935000000000002</v>
      </c>
      <c r="M176" s="1">
        <v>7.8875999999999999</v>
      </c>
      <c r="N176" s="1">
        <v>8.2559000000000005</v>
      </c>
      <c r="O176" s="1">
        <v>7.8445</v>
      </c>
      <c r="P176" s="1">
        <v>8.5669000000000004</v>
      </c>
      <c r="Q176" s="1">
        <v>6.8639000000000001</v>
      </c>
      <c r="R176" s="1">
        <v>10.048999999999999</v>
      </c>
      <c r="S176" s="1">
        <v>7.6204000000000001</v>
      </c>
      <c r="T176" s="1">
        <v>8.0596999999999994</v>
      </c>
      <c r="U176" s="1">
        <v>8.3193999999999999</v>
      </c>
      <c r="V176" s="1">
        <v>8.0198999999999998</v>
      </c>
      <c r="W176" s="1">
        <v>8.2951999999999995</v>
      </c>
      <c r="X176" s="1">
        <f t="shared" si="23"/>
        <v>8.4329049999999999</v>
      </c>
      <c r="Y176" s="1">
        <f t="shared" si="22"/>
        <v>0.81706309069998417</v>
      </c>
      <c r="Z176" s="1">
        <f t="shared" si="24"/>
        <v>9.6889872552813561</v>
      </c>
      <c r="AA176" s="1">
        <f t="shared" si="25"/>
        <v>6.8639000000000001</v>
      </c>
      <c r="AB176" s="1">
        <f t="shared" si="26"/>
        <v>10.048999999999999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36"/>
  <sheetViews>
    <sheetView tabSelected="1" workbookViewId="0">
      <selection activeCell="G37" sqref="G37"/>
    </sheetView>
  </sheetViews>
  <sheetFormatPr defaultRowHeight="14.25"/>
  <cols>
    <col min="1" max="1" width="12" customWidth="1"/>
    <col min="2" max="2" width="18" customWidth="1"/>
    <col min="3" max="7" width="16" customWidth="1"/>
  </cols>
  <sheetData>
    <row r="1" spans="1:7" ht="15">
      <c r="A1" s="2" t="s">
        <v>0</v>
      </c>
      <c r="B1" s="2" t="s">
        <v>1</v>
      </c>
      <c r="C1" s="2" t="s">
        <v>30</v>
      </c>
      <c r="D1" s="2" t="s">
        <v>31</v>
      </c>
      <c r="E1" s="2" t="s">
        <v>32</v>
      </c>
      <c r="F1" s="2" t="s">
        <v>33</v>
      </c>
      <c r="G1" s="2" t="s">
        <v>34</v>
      </c>
    </row>
    <row r="2" spans="1:7">
      <c r="A2" t="s">
        <v>28</v>
      </c>
      <c r="B2" t="s">
        <v>29</v>
      </c>
      <c r="C2" t="str">
        <f>TEXT(Results_Table3!X2,"0.000")&amp;" ± "&amp;TEXT(Results_Table3!Y2,"0.000")</f>
        <v>0.490 ± 0.044</v>
      </c>
      <c r="D2" t="str">
        <f>TEXT(Results_Table3!X3,"0.000")&amp;" ± "&amp;TEXT(Results_Table3!Y3,"0.000")</f>
        <v>0.811 ± 0.057</v>
      </c>
      <c r="E2" t="str">
        <f>TEXT(Results_Table3!X4,"0.000")&amp;" ± "&amp;TEXT(Results_Table3!Y4,"0.000")</f>
        <v>1.180 ± 0.054</v>
      </c>
      <c r="F2" t="str">
        <f>TEXT(Results_Table3!X5,"0.000")&amp;" ± "&amp;TEXT(Results_Table3!Y5,"0.000")</f>
        <v>1.641 ± 0.054</v>
      </c>
      <c r="G2" t="str">
        <f>TEXT(Results_Table3!X6,"0.000")&amp;" ± "&amp;TEXT(Results_Table3!Y6,"0.000")</f>
        <v>2.016 ± 0.128</v>
      </c>
    </row>
    <row r="3" spans="1:7">
      <c r="A3" t="s">
        <v>28</v>
      </c>
      <c r="B3" t="s">
        <v>35</v>
      </c>
      <c r="C3" t="str">
        <f>TEXT(Results_Table3!X7,"0.000")&amp;" ± "&amp;TEXT(Results_Table3!Y7,"0.000")</f>
        <v>0.390 ± 0.027</v>
      </c>
      <c r="D3" t="str">
        <f>TEXT(Results_Table3!X8,"0.000")&amp;" ± "&amp;TEXT(Results_Table3!Y8,"0.000")</f>
        <v>0.600 ± 0.044</v>
      </c>
      <c r="E3" t="str">
        <f>TEXT(Results_Table3!X9,"0.000")&amp;" ± "&amp;TEXT(Results_Table3!Y9,"0.000")</f>
        <v>0.849 ± 0.034</v>
      </c>
      <c r="F3" t="str">
        <f>TEXT(Results_Table3!X10,"0.000")&amp;" ± "&amp;TEXT(Results_Table3!Y10,"0.000")</f>
        <v>1.200 ± 0.078</v>
      </c>
      <c r="G3" t="str">
        <f>TEXT(Results_Table3!X11,"0.000")&amp;" ± "&amp;TEXT(Results_Table3!Y11,"0.000")</f>
        <v>1.493 ± 0.081</v>
      </c>
    </row>
    <row r="4" spans="1:7">
      <c r="A4" t="s">
        <v>28</v>
      </c>
      <c r="B4" t="s">
        <v>36</v>
      </c>
      <c r="C4" t="str">
        <f>TEXT(Results_Table3!X12,"0.000")&amp;" ± "&amp;TEXT(Results_Table3!Y12,"0.000")</f>
        <v>0.330 ± 0.039</v>
      </c>
      <c r="D4" t="str">
        <f>TEXT(Results_Table3!X13,"0.000")&amp;" ± "&amp;TEXT(Results_Table3!Y13,"0.000")</f>
        <v>0.510 ± 0.032</v>
      </c>
      <c r="E4" t="str">
        <f>TEXT(Results_Table3!X14,"0.000")&amp;" ± "&amp;TEXT(Results_Table3!Y14,"0.000")</f>
        <v>0.710 ± 0.039</v>
      </c>
      <c r="F4" t="str">
        <f>TEXT(Results_Table3!X15,"0.000")&amp;" ± "&amp;TEXT(Results_Table3!Y15,"0.000")</f>
        <v>1.020 ± 0.142</v>
      </c>
      <c r="G4" t="str">
        <f>TEXT(Results_Table3!X16,"0.000")&amp;" ± "&amp;TEXT(Results_Table3!Y16,"0.000")</f>
        <v>1.270 ± 0.029</v>
      </c>
    </row>
    <row r="5" spans="1:7">
      <c r="A5" t="s">
        <v>28</v>
      </c>
      <c r="B5" t="s">
        <v>37</v>
      </c>
      <c r="C5" t="str">
        <f>TEXT(Results_Table3!X17,"0.000")&amp;" ± "&amp;TEXT(Results_Table3!Y17,"0.000")</f>
        <v>0.290 ± 0.014</v>
      </c>
      <c r="D5" t="str">
        <f>TEXT(Results_Table3!X18,"0.000")&amp;" ± "&amp;TEXT(Results_Table3!Y18,"0.000")</f>
        <v>0.450 ± 0.035</v>
      </c>
      <c r="E5" t="str">
        <f>TEXT(Results_Table3!X19,"0.000")&amp;" ± "&amp;TEXT(Results_Table3!Y19,"0.000")</f>
        <v>0.639 ± 0.036</v>
      </c>
      <c r="F5" t="str">
        <f>TEXT(Results_Table3!X20,"0.000")&amp;" ± "&amp;TEXT(Results_Table3!Y20,"0.000")</f>
        <v>0.921 ± 0.094</v>
      </c>
      <c r="G5" t="str">
        <f>TEXT(Results_Table3!X21,"0.000")&amp;" ± "&amp;TEXT(Results_Table3!Y21,"0.000")</f>
        <v>1.121 ± 0.053</v>
      </c>
    </row>
    <row r="6" spans="1:7">
      <c r="A6" t="s">
        <v>28</v>
      </c>
      <c r="B6" t="s">
        <v>38</v>
      </c>
      <c r="C6" t="str">
        <f>TEXT(Results_Table3!X22,"0.000")&amp;" ± "&amp;TEXT(Results_Table3!Y22,"0.000")</f>
        <v>0.260 ± 0.024</v>
      </c>
      <c r="D6" t="str">
        <f>TEXT(Results_Table3!X23,"0.000")&amp;" ± "&amp;TEXT(Results_Table3!Y23,"0.000")</f>
        <v>0.390 ± 0.019</v>
      </c>
      <c r="E6" t="str">
        <f>TEXT(Results_Table3!X24,"0.000")&amp;" ± "&amp;TEXT(Results_Table3!Y24,"0.000")</f>
        <v>0.570 ± 0.027</v>
      </c>
      <c r="F6" t="str">
        <f>TEXT(Results_Table3!X25,"0.000")&amp;" ± "&amp;TEXT(Results_Table3!Y25,"0.000")</f>
        <v>0.840 ± 0.049</v>
      </c>
      <c r="G6" t="str">
        <f>TEXT(Results_Table3!X26,"0.000")&amp;" ± "&amp;TEXT(Results_Table3!Y26,"0.000")</f>
        <v>1.013 ± 0.112</v>
      </c>
    </row>
    <row r="7" spans="1:7">
      <c r="A7" t="s">
        <v>28</v>
      </c>
      <c r="B7" t="s">
        <v>39</v>
      </c>
      <c r="C7" t="str">
        <f>TEXT(Results_Table3!X27,"0.000")&amp;" ± "&amp;TEXT(Results_Table3!Y27,"0.000")</f>
        <v>0.230 ± 0.015</v>
      </c>
      <c r="D7" t="str">
        <f>TEXT(Results_Table3!X28,"0.000")&amp;" ± "&amp;TEXT(Results_Table3!Y28,"0.000")</f>
        <v>0.349 ± 0.033</v>
      </c>
      <c r="E7" t="str">
        <f>TEXT(Results_Table3!X29,"0.000")&amp;" ± "&amp;TEXT(Results_Table3!Y29,"0.000")</f>
        <v>0.528 ± 0.025</v>
      </c>
      <c r="F7" t="str">
        <f>TEXT(Results_Table3!X30,"0.000")&amp;" ± "&amp;TEXT(Results_Table3!Y30,"0.000")</f>
        <v>0.740 ± 0.016</v>
      </c>
      <c r="G7" t="str">
        <f>TEXT(Results_Table3!X31,"0.000")&amp;" ± "&amp;TEXT(Results_Table3!Y31,"0.000")</f>
        <v>0.914 ± 0.100</v>
      </c>
    </row>
    <row r="8" spans="1:7">
      <c r="A8" t="s">
        <v>28</v>
      </c>
      <c r="B8" t="s">
        <v>40</v>
      </c>
      <c r="C8" t="str">
        <f>TEXT(Results_Table3!X32,"0.000")&amp;" ± "&amp;TEXT(Results_Table3!Y32,"0.000")</f>
        <v>0.200 ± 0.003</v>
      </c>
      <c r="D8" t="str">
        <f>TEXT(Results_Table3!X33,"0.000")&amp;" ± "&amp;TEXT(Results_Table3!Y33,"0.000")</f>
        <v>0.310 ± 0.016</v>
      </c>
      <c r="E8" t="str">
        <f>TEXT(Results_Table3!X34,"0.000")&amp;" ± "&amp;TEXT(Results_Table3!Y34,"0.000")</f>
        <v>0.450 ± 0.026</v>
      </c>
      <c r="F8" t="str">
        <f>TEXT(Results_Table3!X35,"0.000")&amp;" ± "&amp;TEXT(Results_Table3!Y35,"0.000")</f>
        <v>0.659 ± 0.036</v>
      </c>
      <c r="G8" t="str">
        <f>TEXT(Results_Table3!X36,"0.000")&amp;" ± "&amp;TEXT(Results_Table3!Y36,"0.000")</f>
        <v>0.830 ± 0.060</v>
      </c>
    </row>
    <row r="9" spans="1:7">
      <c r="A9" t="s">
        <v>41</v>
      </c>
      <c r="B9" t="s">
        <v>29</v>
      </c>
      <c r="C9" t="str">
        <f>TEXT(Results_Table3!X37,"0.000")&amp;" ± "&amp;TEXT(Results_Table3!Y37,"0.000")</f>
        <v>5.395 ± 0.228</v>
      </c>
      <c r="D9" t="str">
        <f>TEXT(Results_Table3!X38,"0.000")&amp;" ± "&amp;TEXT(Results_Table3!Y38,"0.000")</f>
        <v>8.577 ± 0.791</v>
      </c>
      <c r="E9" t="str">
        <f>TEXT(Results_Table3!X39,"0.000")&amp;" ± "&amp;TEXT(Results_Table3!Y39,"0.000")</f>
        <v>12.189 ± 0.866</v>
      </c>
      <c r="F9" t="str">
        <f>TEXT(Results_Table3!X40,"0.000")&amp;" ± "&amp;TEXT(Results_Table3!Y40,"0.000")</f>
        <v>16.366 ± 0.860</v>
      </c>
      <c r="G9" t="str">
        <f>TEXT(Results_Table3!X41,"0.000")&amp;" ± "&amp;TEXT(Results_Table3!Y41,"0.000")</f>
        <v>20.222 ± 0.782</v>
      </c>
    </row>
    <row r="10" spans="1:7">
      <c r="A10" t="s">
        <v>41</v>
      </c>
      <c r="B10" t="s">
        <v>35</v>
      </c>
      <c r="C10" t="str">
        <f>TEXT(Results_Table3!X42,"0.000")&amp;" ± "&amp;TEXT(Results_Table3!Y42,"0.000")</f>
        <v>4.206 ± 0.369</v>
      </c>
      <c r="D10" t="str">
        <f>TEXT(Results_Table3!X43,"0.000")&amp;" ± "&amp;TEXT(Results_Table3!Y43,"0.000")</f>
        <v>6.107 ± 0.655</v>
      </c>
      <c r="E10" t="str">
        <f>TEXT(Results_Table3!X44,"0.000")&amp;" ± "&amp;TEXT(Results_Table3!Y44,"0.000")</f>
        <v>8.918 ± 0.817</v>
      </c>
      <c r="F10" t="str">
        <f>TEXT(Results_Table3!X45,"0.000")&amp;" ± "&amp;TEXT(Results_Table3!Y45,"0.000")</f>
        <v>12.150 ± 0.998</v>
      </c>
      <c r="G10" t="str">
        <f>TEXT(Results_Table3!X46,"0.000")&amp;" ± "&amp;TEXT(Results_Table3!Y46,"0.000")</f>
        <v>14.910 ± 1.582</v>
      </c>
    </row>
    <row r="11" spans="1:7">
      <c r="A11" t="s">
        <v>41</v>
      </c>
      <c r="B11" t="s">
        <v>36</v>
      </c>
      <c r="C11" t="str">
        <f>TEXT(Results_Table3!X47,"0.000")&amp;" ± "&amp;TEXT(Results_Table3!Y47,"0.000")</f>
        <v>3.601 ± 0.162</v>
      </c>
      <c r="D11" t="str">
        <f>TEXT(Results_Table3!X48,"0.000")&amp;" ± "&amp;TEXT(Results_Table3!Y48,"0.000")</f>
        <v>5.202 ± 0.607</v>
      </c>
      <c r="E11" t="str">
        <f>TEXT(Results_Table3!X49,"0.000")&amp;" ± "&amp;TEXT(Results_Table3!Y49,"0.000")</f>
        <v>7.618 ± 0.545</v>
      </c>
      <c r="F11" t="str">
        <f>TEXT(Results_Table3!X50,"0.000")&amp;" ± "&amp;TEXT(Results_Table3!Y50,"0.000")</f>
        <v>10.502 ± 0.724</v>
      </c>
      <c r="G11" t="str">
        <f>TEXT(Results_Table3!X51,"0.000")&amp;" ± "&amp;TEXT(Results_Table3!Y51,"0.000")</f>
        <v>12.888 ± 0.576</v>
      </c>
    </row>
    <row r="12" spans="1:7">
      <c r="A12" t="s">
        <v>41</v>
      </c>
      <c r="B12" t="s">
        <v>37</v>
      </c>
      <c r="C12" t="str">
        <f>TEXT(Results_Table3!X52,"0.000")&amp;" ± "&amp;TEXT(Results_Table3!Y52,"0.000")</f>
        <v>3.196 ± 0.108</v>
      </c>
      <c r="D12" t="str">
        <f>TEXT(Results_Table3!X53,"0.000")&amp;" ± "&amp;TEXT(Results_Table3!Y53,"0.000")</f>
        <v>4.699 ± 0.178</v>
      </c>
      <c r="E12" t="str">
        <f>TEXT(Results_Table3!X54,"0.000")&amp;" ± "&amp;TEXT(Results_Table3!Y54,"0.000")</f>
        <v>6.904 ± 0.484</v>
      </c>
      <c r="F12" t="str">
        <f>TEXT(Results_Table3!X55,"0.000")&amp;" ± "&amp;TEXT(Results_Table3!Y55,"0.000")</f>
        <v>9.620 ± 0.362</v>
      </c>
      <c r="G12" t="str">
        <f>TEXT(Results_Table3!X56,"0.000")&amp;" ± "&amp;TEXT(Results_Table3!Y56,"0.000")</f>
        <v>11.634 ± 0.899</v>
      </c>
    </row>
    <row r="13" spans="1:7">
      <c r="A13" t="s">
        <v>41</v>
      </c>
      <c r="B13" t="s">
        <v>38</v>
      </c>
      <c r="C13" t="str">
        <f>TEXT(Results_Table3!X57,"0.000")&amp;" ± "&amp;TEXT(Results_Table3!Y57,"0.000")</f>
        <v>2.801 ± 0.312</v>
      </c>
      <c r="D13" t="str">
        <f>TEXT(Results_Table3!X58,"0.000")&amp;" ± "&amp;TEXT(Results_Table3!Y58,"0.000")</f>
        <v>4.097 ± 0.674</v>
      </c>
      <c r="E13" t="str">
        <f>TEXT(Results_Table3!X59,"0.000")&amp;" ± "&amp;TEXT(Results_Table3!Y59,"0.000")</f>
        <v>5.993 ± 0.244</v>
      </c>
      <c r="F13" t="str">
        <f>TEXT(Results_Table3!X60,"0.000")&amp;" ± "&amp;TEXT(Results_Table3!Y60,"0.000")</f>
        <v>8.604 ± 0.586</v>
      </c>
      <c r="G13" t="str">
        <f>TEXT(Results_Table3!X61,"0.000")&amp;" ± "&amp;TEXT(Results_Table3!Y61,"0.000")</f>
        <v>10.526 ± 1.087</v>
      </c>
    </row>
    <row r="14" spans="1:7">
      <c r="A14" t="s">
        <v>41</v>
      </c>
      <c r="B14" t="s">
        <v>39</v>
      </c>
      <c r="C14" t="str">
        <f>TEXT(Results_Table3!X62,"0.000")&amp;" ± "&amp;TEXT(Results_Table3!Y62,"0.000")</f>
        <v>2.500 ± 0.178</v>
      </c>
      <c r="D14" t="str">
        <f>TEXT(Results_Table3!X63,"0.000")&amp;" ± "&amp;TEXT(Results_Table3!Y63,"0.000")</f>
        <v>3.699 ± 0.255</v>
      </c>
      <c r="E14" t="str">
        <f>TEXT(Results_Table3!X64,"0.000")&amp;" ± "&amp;TEXT(Results_Table3!Y64,"0.000")</f>
        <v>5.400 ± 0.171</v>
      </c>
      <c r="F14" t="str">
        <f>TEXT(Results_Table3!X65,"0.000")&amp;" ± "&amp;TEXT(Results_Table3!Y65,"0.000")</f>
        <v>7.699 ± 0.513</v>
      </c>
      <c r="G14" t="str">
        <f>TEXT(Results_Table3!X66,"0.000")&amp;" ± "&amp;TEXT(Results_Table3!Y66,"0.000")</f>
        <v>9.494 ± 0.752</v>
      </c>
    </row>
    <row r="15" spans="1:7">
      <c r="A15" t="s">
        <v>41</v>
      </c>
      <c r="B15" t="s">
        <v>40</v>
      </c>
      <c r="C15" t="str">
        <f>TEXT(Results_Table3!X67,"0.000")&amp;" ± "&amp;TEXT(Results_Table3!Y67,"0.000")</f>
        <v>2.201 ± 0.213</v>
      </c>
      <c r="D15" t="str">
        <f>TEXT(Results_Table3!X68,"0.000")&amp;" ± "&amp;TEXT(Results_Table3!Y68,"0.000")</f>
        <v>3.300 ± 0.431</v>
      </c>
      <c r="E15" t="str">
        <f>TEXT(Results_Table3!X69,"0.000")&amp;" ± "&amp;TEXT(Results_Table3!Y69,"0.000")</f>
        <v>4.791 ± 0.440</v>
      </c>
      <c r="F15" t="str">
        <f>TEXT(Results_Table3!X70,"0.000")&amp;" ± "&amp;TEXT(Results_Table3!Y70,"0.000")</f>
        <v>6.920 ± 0.634</v>
      </c>
      <c r="G15" t="str">
        <f>TEXT(Results_Table3!X71,"0.000")&amp;" ± "&amp;TEXT(Results_Table3!Y71,"0.000")</f>
        <v>8.503 ± 0.601</v>
      </c>
    </row>
    <row r="16" spans="1:7">
      <c r="A16" t="s">
        <v>42</v>
      </c>
      <c r="B16" t="s">
        <v>29</v>
      </c>
      <c r="C16" t="str">
        <f>TEXT(Results_Table3!X72,"0.000")&amp;" ± "&amp;TEXT(Results_Table3!Y72,"0.000")</f>
        <v>0.540 ± 0.067</v>
      </c>
      <c r="D16" t="str">
        <f>TEXT(Results_Table3!X73,"0.000")&amp;" ± "&amp;TEXT(Results_Table3!Y73,"0.000")</f>
        <v>0.870 ± 0.041</v>
      </c>
      <c r="E16" t="str">
        <f>TEXT(Results_Table3!X74,"0.000")&amp;" ± "&amp;TEXT(Results_Table3!Y74,"0.000")</f>
        <v>1.248 ± 0.032</v>
      </c>
      <c r="F16" t="str">
        <f>TEXT(Results_Table3!X75,"0.000")&amp;" ± "&amp;TEXT(Results_Table3!Y75,"0.000")</f>
        <v>1.642 ± 0.142</v>
      </c>
      <c r="G16" t="str">
        <f>TEXT(Results_Table3!X76,"0.000")&amp;" ± "&amp;TEXT(Results_Table3!Y76,"0.000")</f>
        <v>2.049 ± 0.082</v>
      </c>
    </row>
    <row r="17" spans="1:7">
      <c r="A17" t="s">
        <v>42</v>
      </c>
      <c r="B17" t="s">
        <v>35</v>
      </c>
      <c r="C17" t="str">
        <f>TEXT(Results_Table3!X77,"0.000")&amp;" ± "&amp;TEXT(Results_Table3!Y77,"0.000")</f>
        <v>0.440 ± 0.017</v>
      </c>
      <c r="D17" t="str">
        <f>TEXT(Results_Table3!X78,"0.000")&amp;" ± "&amp;TEXT(Results_Table3!Y78,"0.000")</f>
        <v>0.690 ± 0.065</v>
      </c>
      <c r="E17" t="str">
        <f>TEXT(Results_Table3!X79,"0.000")&amp;" ± "&amp;TEXT(Results_Table3!Y79,"0.000")</f>
        <v>0.960 ± 0.049</v>
      </c>
      <c r="F17" t="str">
        <f>TEXT(Results_Table3!X80,"0.000")&amp;" ± "&amp;TEXT(Results_Table3!Y80,"0.000")</f>
        <v>1.271 ± 0.099</v>
      </c>
      <c r="G17" t="str">
        <f>TEXT(Results_Table3!X81,"0.000")&amp;" ± "&amp;TEXT(Results_Table3!Y81,"0.000")</f>
        <v>1.539 ± 0.103</v>
      </c>
    </row>
    <row r="18" spans="1:7">
      <c r="A18" t="s">
        <v>42</v>
      </c>
      <c r="B18" t="s">
        <v>36</v>
      </c>
      <c r="C18" t="str">
        <f>TEXT(Results_Table3!X82,"0.000")&amp;" ± "&amp;TEXT(Results_Table3!Y82,"0.000")</f>
        <v>0.370 ± 0.017</v>
      </c>
      <c r="D18" t="str">
        <f>TEXT(Results_Table3!X83,"0.000")&amp;" ± "&amp;TEXT(Results_Table3!Y83,"0.000")</f>
        <v>0.580 ± 0.044</v>
      </c>
      <c r="E18" t="str">
        <f>TEXT(Results_Table3!X84,"0.000")&amp;" ± "&amp;TEXT(Results_Table3!Y84,"0.000")</f>
        <v>0.831 ± 0.099</v>
      </c>
      <c r="F18" t="str">
        <f>TEXT(Results_Table3!X85,"0.000")&amp;" ± "&amp;TEXT(Results_Table3!Y85,"0.000")</f>
        <v>1.118 ± 0.044</v>
      </c>
      <c r="G18" t="str">
        <f>TEXT(Results_Table3!X86,"0.000")&amp;" ± "&amp;TEXT(Results_Table3!Y86,"0.000")</f>
        <v>1.350 ± 0.043</v>
      </c>
    </row>
    <row r="19" spans="1:7">
      <c r="A19" t="s">
        <v>42</v>
      </c>
      <c r="B19" t="s">
        <v>37</v>
      </c>
      <c r="C19" t="str">
        <f>TEXT(Results_Table3!X87,"0.000")&amp;" ± "&amp;TEXT(Results_Table3!Y87,"0.000")</f>
        <v>0.340 ± 0.040</v>
      </c>
      <c r="D19" t="str">
        <f>TEXT(Results_Table3!X88,"0.000")&amp;" ± "&amp;TEXT(Results_Table3!Y88,"0.000")</f>
        <v>0.540 ± 0.029</v>
      </c>
      <c r="E19" t="str">
        <f>TEXT(Results_Table3!X89,"0.000")&amp;" ± "&amp;TEXT(Results_Table3!Y89,"0.000")</f>
        <v>0.759 ± 0.028</v>
      </c>
      <c r="F19" t="str">
        <f>TEXT(Results_Table3!X90,"0.000")&amp;" ± "&amp;TEXT(Results_Table3!Y90,"0.000")</f>
        <v>1.029 ± 0.042</v>
      </c>
      <c r="G19" t="str">
        <f>TEXT(Results_Table3!X91,"0.000")&amp;" ± "&amp;TEXT(Results_Table3!Y91,"0.000")</f>
        <v>1.221 ± 0.025</v>
      </c>
    </row>
    <row r="20" spans="1:7">
      <c r="A20" t="s">
        <v>42</v>
      </c>
      <c r="B20" t="s">
        <v>38</v>
      </c>
      <c r="C20" t="str">
        <f>TEXT(Results_Table3!X92,"0.000")&amp;" ± "&amp;TEXT(Results_Table3!Y92,"0.000")</f>
        <v>0.300 ± 0.017</v>
      </c>
      <c r="D20" t="str">
        <f>TEXT(Results_Table3!X93,"0.000")&amp;" ± "&amp;TEXT(Results_Table3!Y93,"0.000")</f>
        <v>0.460 ± 0.015</v>
      </c>
      <c r="E20" t="str">
        <f>TEXT(Results_Table3!X94,"0.000")&amp;" ± "&amp;TEXT(Results_Table3!Y94,"0.000")</f>
        <v>0.690 ± 0.032</v>
      </c>
      <c r="F20" t="str">
        <f>TEXT(Results_Table3!X95,"0.000")&amp;" ± "&amp;TEXT(Results_Table3!Y95,"0.000")</f>
        <v>0.921 ± 0.088</v>
      </c>
      <c r="G20" t="str">
        <f>TEXT(Results_Table3!X96,"0.000")&amp;" ± "&amp;TEXT(Results_Table3!Y96,"0.000")</f>
        <v>1.141 ± 0.060</v>
      </c>
    </row>
    <row r="21" spans="1:7">
      <c r="A21" t="s">
        <v>42</v>
      </c>
      <c r="B21" t="s">
        <v>39</v>
      </c>
      <c r="C21" t="str">
        <f>TEXT(Results_Table3!X97,"0.000")&amp;" ± "&amp;TEXT(Results_Table3!Y97,"0.000")</f>
        <v>0.271 ± 0.024</v>
      </c>
      <c r="D21" t="str">
        <f>TEXT(Results_Table3!X98,"0.000")&amp;" ± "&amp;TEXT(Results_Table3!Y98,"0.000")</f>
        <v>0.421 ± 0.027</v>
      </c>
      <c r="E21" t="str">
        <f>TEXT(Results_Table3!X99,"0.000")&amp;" ± "&amp;TEXT(Results_Table3!Y99,"0.000")</f>
        <v>0.630 ± 0.026</v>
      </c>
      <c r="F21" t="str">
        <f>TEXT(Results_Table3!X100,"0.000")&amp;" ± "&amp;TEXT(Results_Table3!Y100,"0.000")</f>
        <v>0.871 ± 0.033</v>
      </c>
      <c r="G21" t="str">
        <f>TEXT(Results_Table3!X101,"0.000")&amp;" ± "&amp;TEXT(Results_Table3!Y101,"0.000")</f>
        <v>1.072 ± 0.055</v>
      </c>
    </row>
    <row r="22" spans="1:7">
      <c r="A22" t="s">
        <v>42</v>
      </c>
      <c r="B22" t="s">
        <v>40</v>
      </c>
      <c r="C22" t="str">
        <f>TEXT(Results_Table3!X102,"0.000")&amp;" ± "&amp;TEXT(Results_Table3!Y102,"0.000")</f>
        <v>0.240 ± 0.014</v>
      </c>
      <c r="D22" t="str">
        <f>TEXT(Results_Table3!X103,"0.000")&amp;" ± "&amp;TEXT(Results_Table3!Y103,"0.000")</f>
        <v>0.379 ± 0.030</v>
      </c>
      <c r="E22" t="str">
        <f>TEXT(Results_Table3!X104,"0.000")&amp;" ± "&amp;TEXT(Results_Table3!Y104,"0.000")</f>
        <v>0.550 ± 0.043</v>
      </c>
      <c r="F22" t="str">
        <f>TEXT(Results_Table3!X105,"0.000")&amp;" ± "&amp;TEXT(Results_Table3!Y105,"0.000")</f>
        <v>0.791 ± 0.081</v>
      </c>
      <c r="G22" t="str">
        <f>TEXT(Results_Table3!X106,"0.000")&amp;" ± "&amp;TEXT(Results_Table3!Y106,"0.000")</f>
        <v>0.973 ± 0.067</v>
      </c>
    </row>
    <row r="23" spans="1:7">
      <c r="A23" t="s">
        <v>43</v>
      </c>
      <c r="B23" t="s">
        <v>29</v>
      </c>
      <c r="C23" t="str">
        <f>TEXT(Results_Table3!X107,"0.000")&amp;" ± "&amp;TEXT(Results_Table3!Y107,"0.000")</f>
        <v>0.230 ± 0.019</v>
      </c>
      <c r="D23" t="str">
        <f>TEXT(Results_Table3!X108,"0.000")&amp;" ± "&amp;TEXT(Results_Table3!Y108,"0.000")</f>
        <v>0.350 ± 0.021</v>
      </c>
      <c r="E23" t="str">
        <f>TEXT(Results_Table3!X109,"0.000")&amp;" ± "&amp;TEXT(Results_Table3!Y109,"0.000")</f>
        <v>0.491 ± 0.043</v>
      </c>
      <c r="F23" t="str">
        <f>TEXT(Results_Table3!X110,"0.000")&amp;" ± "&amp;TEXT(Results_Table3!Y110,"0.000")</f>
        <v>0.651 ± 0.028</v>
      </c>
      <c r="G23" t="str">
        <f>TEXT(Results_Table3!X111,"0.000")&amp;" ± "&amp;TEXT(Results_Table3!Y111,"0.000")</f>
        <v>0.800 ± 0.036</v>
      </c>
    </row>
    <row r="24" spans="1:7">
      <c r="A24" t="s">
        <v>43</v>
      </c>
      <c r="B24" t="s">
        <v>35</v>
      </c>
      <c r="C24" t="str">
        <f>TEXT(Results_Table3!X112,"0.000")&amp;" ± "&amp;TEXT(Results_Table3!Y112,"0.000")</f>
        <v>0.180 ± 0.012</v>
      </c>
      <c r="D24" t="str">
        <f>TEXT(Results_Table3!X113,"0.000")&amp;" ± "&amp;TEXT(Results_Table3!Y113,"0.000")</f>
        <v>0.281 ± 0.029</v>
      </c>
      <c r="E24" t="str">
        <f>TEXT(Results_Table3!X114,"0.000")&amp;" ± "&amp;TEXT(Results_Table3!Y114,"0.000")</f>
        <v>0.380 ± 0.026</v>
      </c>
      <c r="F24" t="str">
        <f>TEXT(Results_Table3!X115,"0.000")&amp;" ± "&amp;TEXT(Results_Table3!Y115,"0.000")</f>
        <v>0.508 ± 0.038</v>
      </c>
      <c r="G24" t="str">
        <f>TEXT(Results_Table3!X116,"0.000")&amp;" ± "&amp;TEXT(Results_Table3!Y116,"0.000")</f>
        <v>0.610 ± 0.056</v>
      </c>
    </row>
    <row r="25" spans="1:7">
      <c r="A25" t="s">
        <v>43</v>
      </c>
      <c r="B25" t="s">
        <v>36</v>
      </c>
      <c r="C25" t="str">
        <f>TEXT(Results_Table3!X117,"0.000")&amp;" ± "&amp;TEXT(Results_Table3!Y117,"0.000")</f>
        <v>0.150 ± 0.015</v>
      </c>
      <c r="D25" t="str">
        <f>TEXT(Results_Table3!X118,"0.000")&amp;" ± "&amp;TEXT(Results_Table3!Y118,"0.000")</f>
        <v>0.240 ± 0.005</v>
      </c>
      <c r="E25" t="str">
        <f>TEXT(Results_Table3!X119,"0.000")&amp;" ± "&amp;TEXT(Results_Table3!Y119,"0.000")</f>
        <v>0.330 ± 0.013</v>
      </c>
      <c r="F25" t="str">
        <f>TEXT(Results_Table3!X120,"0.000")&amp;" ± "&amp;TEXT(Results_Table3!Y120,"0.000")</f>
        <v>0.441 ± 0.026</v>
      </c>
      <c r="G25" t="str">
        <f>TEXT(Results_Table3!X121,"0.000")&amp;" ± "&amp;TEXT(Results_Table3!Y121,"0.000")</f>
        <v>0.529 ± 0.019</v>
      </c>
    </row>
    <row r="26" spans="1:7">
      <c r="A26" t="s">
        <v>43</v>
      </c>
      <c r="B26" t="s">
        <v>37</v>
      </c>
      <c r="C26" t="str">
        <f>TEXT(Results_Table3!X122,"0.000")&amp;" ± "&amp;TEXT(Results_Table3!Y122,"0.000")</f>
        <v>0.140 ± 0.007</v>
      </c>
      <c r="D26" t="str">
        <f>TEXT(Results_Table3!X123,"0.000")&amp;" ± "&amp;TEXT(Results_Table3!Y123,"0.000")</f>
        <v>0.219 ± 0.026</v>
      </c>
      <c r="E26" t="str">
        <f>TEXT(Results_Table3!X124,"0.000")&amp;" ± "&amp;TEXT(Results_Table3!Y124,"0.000")</f>
        <v>0.301 ± 0.026</v>
      </c>
      <c r="F26" t="str">
        <f>TEXT(Results_Table3!X125,"0.000")&amp;" ± "&amp;TEXT(Results_Table3!Y125,"0.000")</f>
        <v>0.407 ± 0.057</v>
      </c>
      <c r="G26" t="str">
        <f>TEXT(Results_Table3!X126,"0.000")&amp;" ± "&amp;TEXT(Results_Table3!Y126,"0.000")</f>
        <v>0.480 ± 0.057</v>
      </c>
    </row>
    <row r="27" spans="1:7">
      <c r="A27" t="s">
        <v>43</v>
      </c>
      <c r="B27" t="s">
        <v>38</v>
      </c>
      <c r="C27" t="str">
        <f>TEXT(Results_Table3!X127,"0.000")&amp;" ± "&amp;TEXT(Results_Table3!Y127,"0.000")</f>
        <v>0.120 ± 0.006</v>
      </c>
      <c r="D27" t="str">
        <f>TEXT(Results_Table3!X128,"0.000")&amp;" ± "&amp;TEXT(Results_Table3!Y128,"0.000")</f>
        <v>0.190 ± 0.008</v>
      </c>
      <c r="E27" t="str">
        <f>TEXT(Results_Table3!X129,"0.000")&amp;" ± "&amp;TEXT(Results_Table3!Y129,"0.000")</f>
        <v>0.270 ± 0.035</v>
      </c>
      <c r="F27" t="str">
        <f>TEXT(Results_Table3!X130,"0.000")&amp;" ± "&amp;TEXT(Results_Table3!Y130,"0.000")</f>
        <v>0.359 ± 0.043</v>
      </c>
      <c r="G27" t="str">
        <f>TEXT(Results_Table3!X131,"0.000")&amp;" ± "&amp;TEXT(Results_Table3!Y131,"0.000")</f>
        <v>0.439 ± 0.058</v>
      </c>
    </row>
    <row r="28" spans="1:7">
      <c r="A28" t="s">
        <v>43</v>
      </c>
      <c r="B28" t="s">
        <v>39</v>
      </c>
      <c r="C28" t="str">
        <f>TEXT(Results_Table3!X132,"0.000")&amp;" ± "&amp;TEXT(Results_Table3!Y132,"0.000")</f>
        <v>0.110 ± 0.005</v>
      </c>
      <c r="D28" t="str">
        <f>TEXT(Results_Table3!X133,"0.000")&amp;" ± "&amp;TEXT(Results_Table3!Y133,"0.000")</f>
        <v>0.169 ± 0.019</v>
      </c>
      <c r="E28" t="str">
        <f>TEXT(Results_Table3!X134,"0.000")&amp;" ± "&amp;TEXT(Results_Table3!Y134,"0.000")</f>
        <v>0.240 ± 0.020</v>
      </c>
      <c r="F28" t="str">
        <f>TEXT(Results_Table3!X135,"0.000")&amp;" ± "&amp;TEXT(Results_Table3!Y135,"0.000")</f>
        <v>0.340 ± 0.019</v>
      </c>
      <c r="G28" t="str">
        <f>TEXT(Results_Table3!X136,"0.000")&amp;" ± "&amp;TEXT(Results_Table3!Y136,"0.000")</f>
        <v>0.410 ± 0.029</v>
      </c>
    </row>
    <row r="29" spans="1:7">
      <c r="A29" t="s">
        <v>43</v>
      </c>
      <c r="B29" t="s">
        <v>40</v>
      </c>
      <c r="C29" t="str">
        <f>TEXT(Results_Table3!X137,"0.000")&amp;" ± "&amp;TEXT(Results_Table3!Y137,"0.000")</f>
        <v>0.100 ± 0.006</v>
      </c>
      <c r="D29" t="str">
        <f>TEXT(Results_Table3!X138,"0.000")&amp;" ± "&amp;TEXT(Results_Table3!Y138,"0.000")</f>
        <v>0.150 ± 0.014</v>
      </c>
      <c r="E29" t="str">
        <f>TEXT(Results_Table3!X139,"0.000")&amp;" ± "&amp;TEXT(Results_Table3!Y139,"0.000")</f>
        <v>0.220 ± 0.021</v>
      </c>
      <c r="F29" t="str">
        <f>TEXT(Results_Table3!X140,"0.000")&amp;" ± "&amp;TEXT(Results_Table3!Y140,"0.000")</f>
        <v>0.310 ± 0.013</v>
      </c>
      <c r="G29" t="str">
        <f>TEXT(Results_Table3!X141,"0.000")&amp;" ± "&amp;TEXT(Results_Table3!Y141,"0.000")</f>
        <v>0.379 ± 0.037</v>
      </c>
    </row>
    <row r="30" spans="1:7">
      <c r="A30" t="s">
        <v>44</v>
      </c>
      <c r="B30" t="s">
        <v>29</v>
      </c>
      <c r="C30" t="str">
        <f>TEXT(Results_Table3!X142,"0.000")&amp;" ± "&amp;TEXT(Results_Table3!Y142,"0.000")</f>
        <v>5.587 ± 0.329</v>
      </c>
      <c r="D30" t="str">
        <f>TEXT(Results_Table3!X143,"0.000")&amp;" ± "&amp;TEXT(Results_Table3!Y143,"0.000")</f>
        <v>9.497 ± 0.640</v>
      </c>
      <c r="E30" t="str">
        <f>TEXT(Results_Table3!X144,"0.000")&amp;" ± "&amp;TEXT(Results_Table3!Y144,"0.000")</f>
        <v>13.203 ± 0.594</v>
      </c>
      <c r="F30" t="str">
        <f>TEXT(Results_Table3!X145,"0.000")&amp;" ± "&amp;TEXT(Results_Table3!Y145,"0.000")</f>
        <v>17.380 ± 1.385</v>
      </c>
      <c r="G30" t="str">
        <f>TEXT(Results_Table3!X146,"0.000")&amp;" ± "&amp;TEXT(Results_Table3!Y146,"0.000")</f>
        <v>20.388 ± 1.015</v>
      </c>
    </row>
    <row r="31" spans="1:7">
      <c r="A31" t="s">
        <v>44</v>
      </c>
      <c r="B31" t="s">
        <v>35</v>
      </c>
      <c r="C31" t="str">
        <f>TEXT(Results_Table3!X147,"0.000")&amp;" ± "&amp;TEXT(Results_Table3!Y147,"0.000")</f>
        <v>4.374 ± 0.412</v>
      </c>
      <c r="D31" t="str">
        <f>TEXT(Results_Table3!X148,"0.000")&amp;" ± "&amp;TEXT(Results_Table3!Y148,"0.000")</f>
        <v>6.916 ± 0.553</v>
      </c>
      <c r="E31" t="str">
        <f>TEXT(Results_Table3!X149,"0.000")&amp;" ± "&amp;TEXT(Results_Table3!Y149,"0.000")</f>
        <v>9.619 ± 0.426</v>
      </c>
      <c r="F31" t="str">
        <f>TEXT(Results_Table3!X150,"0.000")&amp;" ± "&amp;TEXT(Results_Table3!Y150,"0.000")</f>
        <v>12.878 ± 1.104</v>
      </c>
      <c r="G31" t="str">
        <f>TEXT(Results_Table3!X151,"0.000")&amp;" ± "&amp;TEXT(Results_Table3!Y151,"0.000")</f>
        <v>15.278 ± 1.537</v>
      </c>
    </row>
    <row r="32" spans="1:7">
      <c r="A32" t="s">
        <v>44</v>
      </c>
      <c r="B32" t="s">
        <v>36</v>
      </c>
      <c r="C32" t="str">
        <f>TEXT(Results_Table3!X152,"0.000")&amp;" ± "&amp;TEXT(Results_Table3!Y152,"0.000")</f>
        <v>3.676 ± 0.307</v>
      </c>
      <c r="D32" t="str">
        <f>TEXT(Results_Table3!X153,"0.000")&amp;" ± "&amp;TEXT(Results_Table3!Y153,"0.000")</f>
        <v>5.806 ± 0.525</v>
      </c>
      <c r="E32" t="str">
        <f>TEXT(Results_Table3!X154,"0.000")&amp;" ± "&amp;TEXT(Results_Table3!Y154,"0.000")</f>
        <v>7.922 ± 0.790</v>
      </c>
      <c r="F32" t="str">
        <f>TEXT(Results_Table3!X155,"0.000")&amp;" ± "&amp;TEXT(Results_Table3!Y155,"0.000")</f>
        <v>10.899 ± 0.754</v>
      </c>
      <c r="G32" t="str">
        <f>TEXT(Results_Table3!X156,"0.000")&amp;" ± "&amp;TEXT(Results_Table3!Y156,"0.000")</f>
        <v>12.793 ± 0.451</v>
      </c>
    </row>
    <row r="33" spans="1:7">
      <c r="A33" t="s">
        <v>44</v>
      </c>
      <c r="B33" t="s">
        <v>37</v>
      </c>
      <c r="C33" t="str">
        <f>TEXT(Results_Table3!X157,"0.000")&amp;" ± "&amp;TEXT(Results_Table3!Y157,"0.000")</f>
        <v>3.296 ± 0.271</v>
      </c>
      <c r="D33" t="str">
        <f>TEXT(Results_Table3!X158,"0.000")&amp;" ± "&amp;TEXT(Results_Table3!Y158,"0.000")</f>
        <v>5.203 ± 0.323</v>
      </c>
      <c r="E33" t="str">
        <f>TEXT(Results_Table3!X159,"0.000")&amp;" ± "&amp;TEXT(Results_Table3!Y159,"0.000")</f>
        <v>7.219 ± 0.300</v>
      </c>
      <c r="F33" t="str">
        <f>TEXT(Results_Table3!X160,"0.000")&amp;" ± "&amp;TEXT(Results_Table3!Y160,"0.000")</f>
        <v>9.898 ± 0.302</v>
      </c>
      <c r="G33" t="str">
        <f>TEXT(Results_Table3!X161,"0.000")&amp;" ± "&amp;TEXT(Results_Table3!Y161,"0.000")</f>
        <v>11.505 ± 0.752</v>
      </c>
    </row>
    <row r="34" spans="1:7">
      <c r="A34" t="s">
        <v>44</v>
      </c>
      <c r="B34" t="s">
        <v>38</v>
      </c>
      <c r="C34" t="str">
        <f>TEXT(Results_Table3!X162,"0.000")&amp;" ± "&amp;TEXT(Results_Table3!Y162,"0.000")</f>
        <v>2.900 ± 0.089</v>
      </c>
      <c r="D34" t="str">
        <f>TEXT(Results_Table3!X163,"0.000")&amp;" ± "&amp;TEXT(Results_Table3!Y163,"0.000")</f>
        <v>4.485 ± 0.497</v>
      </c>
      <c r="E34" t="str">
        <f>TEXT(Results_Table3!X164,"0.000")&amp;" ± "&amp;TEXT(Results_Table3!Y164,"0.000")</f>
        <v>6.394 ± 0.475</v>
      </c>
      <c r="F34" t="str">
        <f>TEXT(Results_Table3!X165,"0.000")&amp;" ± "&amp;TEXT(Results_Table3!Y165,"0.000")</f>
        <v>8.703 ± 1.052</v>
      </c>
      <c r="G34" t="str">
        <f>TEXT(Results_Table3!X166,"0.000")&amp;" ± "&amp;TEXT(Results_Table3!Y166,"0.000")</f>
        <v>10.292 ± 0.720</v>
      </c>
    </row>
    <row r="35" spans="1:7">
      <c r="A35" t="s">
        <v>44</v>
      </c>
      <c r="B35" t="s">
        <v>39</v>
      </c>
      <c r="C35" t="str">
        <f>TEXT(Results_Table3!X167,"0.000")&amp;" ± "&amp;TEXT(Results_Table3!Y167,"0.000")</f>
        <v>2.598 ± 0.095</v>
      </c>
      <c r="D35" t="str">
        <f>TEXT(Results_Table3!X168,"0.000")&amp;" ± "&amp;TEXT(Results_Table3!Y168,"0.000")</f>
        <v>4.103 ± 0.297</v>
      </c>
      <c r="E35" t="str">
        <f>TEXT(Results_Table3!X169,"0.000")&amp;" ± "&amp;TEXT(Results_Table3!Y169,"0.000")</f>
        <v>5.802 ± 0.578</v>
      </c>
      <c r="F35" t="str">
        <f>TEXT(Results_Table3!X170,"0.000")&amp;" ± "&amp;TEXT(Results_Table3!Y170,"0.000")</f>
        <v>7.801 ± 0.375</v>
      </c>
      <c r="G35" t="str">
        <f>TEXT(Results_Table3!X171,"0.000")&amp;" ± "&amp;TEXT(Results_Table3!Y171,"0.000")</f>
        <v>9.300 ± 0.325</v>
      </c>
    </row>
    <row r="36" spans="1:7">
      <c r="A36" t="s">
        <v>44</v>
      </c>
      <c r="B36" t="s">
        <v>40</v>
      </c>
      <c r="C36" t="str">
        <f>TEXT(Results_Table3!X172,"0.000")&amp;" ± "&amp;TEXT(Results_Table3!Y172,"0.000")</f>
        <v>2.301 ± 0.191</v>
      </c>
      <c r="D36" t="str">
        <f>TEXT(Results_Table3!X173,"0.000")&amp;" ± "&amp;TEXT(Results_Table3!Y173,"0.000")</f>
        <v>3.705 ± 0.241</v>
      </c>
      <c r="E36" t="str">
        <f>TEXT(Results_Table3!X174,"0.000")&amp;" ± "&amp;TEXT(Results_Table3!Y174,"0.000")</f>
        <v>5.291 ± 0.469</v>
      </c>
      <c r="F36" t="str">
        <f>TEXT(Results_Table3!X175,"0.000")&amp;" ± "&amp;TEXT(Results_Table3!Y175,"0.000")</f>
        <v>7.091 ± 0.723</v>
      </c>
      <c r="G36" t="str">
        <f>TEXT(Results_Table3!X176,"0.000")&amp;" ± "&amp;TEXT(Results_Table3!Y176,"0.000")</f>
        <v>8.433 ± 0.817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Results_Table3</vt:lpstr>
      <vt:lpstr>Table3_Summary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Inzamam Mashood Nasir</cp:lastModifiedBy>
  <dcterms:modified xsi:type="dcterms:W3CDTF">2026-09-26T17:29:30Z</dcterms:modified>
</cp:coreProperties>
</file>