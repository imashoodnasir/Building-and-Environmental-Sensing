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C63BAFA5-A379-4267-8925-8C5C3D70668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6" sheetId="1" r:id="rId1"/>
    <sheet name="Table16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" i="1"/>
  <c r="D3" i="2"/>
  <c r="D4" i="2"/>
  <c r="D5" i="2"/>
  <c r="D6" i="2"/>
  <c r="D7" i="2"/>
  <c r="D8" i="2"/>
  <c r="D9" i="2"/>
  <c r="D10" i="2"/>
  <c r="D11" i="2"/>
  <c r="D12" i="2"/>
  <c r="D2" i="2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F125" i="1"/>
  <c r="H125" i="1" s="1"/>
  <c r="E125" i="1"/>
  <c r="E124" i="1"/>
  <c r="E123" i="1"/>
  <c r="E122" i="1"/>
  <c r="C8" i="2" s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F102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F62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F2" i="1"/>
  <c r="H2" i="1" s="1"/>
  <c r="E2" i="1"/>
  <c r="E8" i="2" l="1"/>
  <c r="F166" i="1"/>
  <c r="H166" i="1" s="1"/>
  <c r="F165" i="1"/>
  <c r="H165" i="1" s="1"/>
  <c r="H102" i="1"/>
  <c r="H62" i="1"/>
  <c r="C12" i="2"/>
  <c r="E12" i="2" s="1"/>
  <c r="F218" i="1"/>
  <c r="H218" i="1" s="1"/>
  <c r="F217" i="1"/>
  <c r="H217" i="1" s="1"/>
  <c r="F216" i="1"/>
  <c r="H216" i="1" s="1"/>
  <c r="F215" i="1"/>
  <c r="H215" i="1" s="1"/>
  <c r="F202" i="1"/>
  <c r="H202" i="1" s="1"/>
  <c r="F213" i="1"/>
  <c r="H213" i="1" s="1"/>
  <c r="F212" i="1"/>
  <c r="H212" i="1" s="1"/>
  <c r="F211" i="1"/>
  <c r="H211" i="1" s="1"/>
  <c r="F210" i="1"/>
  <c r="H210" i="1" s="1"/>
  <c r="F209" i="1"/>
  <c r="H209" i="1" s="1"/>
  <c r="F208" i="1"/>
  <c r="H208" i="1" s="1"/>
  <c r="F214" i="1"/>
  <c r="H214" i="1" s="1"/>
  <c r="F207" i="1"/>
  <c r="H207" i="1" s="1"/>
  <c r="F206" i="1"/>
  <c r="H206" i="1" s="1"/>
  <c r="F205" i="1"/>
  <c r="H205" i="1" s="1"/>
  <c r="F204" i="1"/>
  <c r="H204" i="1" s="1"/>
  <c r="F203" i="1"/>
  <c r="H203" i="1" s="1"/>
  <c r="F221" i="1"/>
  <c r="H221" i="1" s="1"/>
  <c r="F220" i="1"/>
  <c r="H220" i="1" s="1"/>
  <c r="F219" i="1"/>
  <c r="H219" i="1" s="1"/>
  <c r="C11" i="2"/>
  <c r="E11" i="2" s="1"/>
  <c r="F195" i="1"/>
  <c r="H195" i="1" s="1"/>
  <c r="F193" i="1"/>
  <c r="H193" i="1" s="1"/>
  <c r="F192" i="1"/>
  <c r="H192" i="1" s="1"/>
  <c r="F186" i="1"/>
  <c r="H186" i="1" s="1"/>
  <c r="F185" i="1"/>
  <c r="H185" i="1" s="1"/>
  <c r="F184" i="1"/>
  <c r="H184" i="1" s="1"/>
  <c r="F183" i="1"/>
  <c r="H183" i="1" s="1"/>
  <c r="F191" i="1"/>
  <c r="H191" i="1" s="1"/>
  <c r="F190" i="1"/>
  <c r="H190" i="1" s="1"/>
  <c r="F182" i="1"/>
  <c r="H182" i="1" s="1"/>
  <c r="F201" i="1"/>
  <c r="H201" i="1" s="1"/>
  <c r="F199" i="1"/>
  <c r="H199" i="1" s="1"/>
  <c r="F194" i="1"/>
  <c r="H194" i="1" s="1"/>
  <c r="F189" i="1"/>
  <c r="H189" i="1" s="1"/>
  <c r="F188" i="1"/>
  <c r="H188" i="1" s="1"/>
  <c r="F187" i="1"/>
  <c r="H187" i="1" s="1"/>
  <c r="F200" i="1"/>
  <c r="H200" i="1" s="1"/>
  <c r="F198" i="1"/>
  <c r="H198" i="1" s="1"/>
  <c r="F197" i="1"/>
  <c r="H197" i="1" s="1"/>
  <c r="F196" i="1"/>
  <c r="H196" i="1" s="1"/>
  <c r="F168" i="1"/>
  <c r="H168" i="1" s="1"/>
  <c r="F172" i="1"/>
  <c r="H172" i="1" s="1"/>
  <c r="F169" i="1"/>
  <c r="H169" i="1" s="1"/>
  <c r="F170" i="1"/>
  <c r="H170" i="1" s="1"/>
  <c r="F171" i="1"/>
  <c r="H171" i="1" s="1"/>
  <c r="F173" i="1"/>
  <c r="H173" i="1" s="1"/>
  <c r="F167" i="1"/>
  <c r="H167" i="1" s="1"/>
  <c r="C10" i="2"/>
  <c r="E10" i="2" s="1"/>
  <c r="F177" i="1"/>
  <c r="H177" i="1" s="1"/>
  <c r="F176" i="1"/>
  <c r="H176" i="1" s="1"/>
  <c r="F175" i="1"/>
  <c r="H175" i="1" s="1"/>
  <c r="F174" i="1"/>
  <c r="H174" i="1" s="1"/>
  <c r="F164" i="1"/>
  <c r="H164" i="1" s="1"/>
  <c r="F163" i="1"/>
  <c r="H163" i="1" s="1"/>
  <c r="F162" i="1"/>
  <c r="H162" i="1" s="1"/>
  <c r="F181" i="1"/>
  <c r="H181" i="1" s="1"/>
  <c r="F180" i="1"/>
  <c r="H180" i="1" s="1"/>
  <c r="F179" i="1"/>
  <c r="H179" i="1" s="1"/>
  <c r="F178" i="1"/>
  <c r="H178" i="1" s="1"/>
  <c r="C9" i="2"/>
  <c r="E9" i="2" s="1"/>
  <c r="F157" i="1"/>
  <c r="H157" i="1" s="1"/>
  <c r="F158" i="1"/>
  <c r="H158" i="1" s="1"/>
  <c r="F159" i="1"/>
  <c r="H159" i="1" s="1"/>
  <c r="F160" i="1"/>
  <c r="H160" i="1" s="1"/>
  <c r="F161" i="1"/>
  <c r="H161" i="1" s="1"/>
  <c r="F143" i="1"/>
  <c r="H143" i="1" s="1"/>
  <c r="F149" i="1"/>
  <c r="H149" i="1" s="1"/>
  <c r="F156" i="1"/>
  <c r="H156" i="1" s="1"/>
  <c r="F155" i="1"/>
  <c r="H155" i="1" s="1"/>
  <c r="F154" i="1"/>
  <c r="H154" i="1" s="1"/>
  <c r="F152" i="1"/>
  <c r="H152" i="1" s="1"/>
  <c r="F151" i="1"/>
  <c r="H151" i="1" s="1"/>
  <c r="F150" i="1"/>
  <c r="H150" i="1" s="1"/>
  <c r="F148" i="1"/>
  <c r="H148" i="1" s="1"/>
  <c r="F142" i="1"/>
  <c r="H142" i="1" s="1"/>
  <c r="F153" i="1"/>
  <c r="H153" i="1" s="1"/>
  <c r="F144" i="1"/>
  <c r="H144" i="1" s="1"/>
  <c r="F145" i="1"/>
  <c r="H145" i="1" s="1"/>
  <c r="F146" i="1"/>
  <c r="H146" i="1" s="1"/>
  <c r="F147" i="1"/>
  <c r="H147" i="1" s="1"/>
  <c r="F126" i="1"/>
  <c r="H126" i="1" s="1"/>
  <c r="F141" i="1"/>
  <c r="H141" i="1" s="1"/>
  <c r="F122" i="1"/>
  <c r="H122" i="1" s="1"/>
  <c r="F123" i="1"/>
  <c r="H123" i="1" s="1"/>
  <c r="F124" i="1"/>
  <c r="H124" i="1" s="1"/>
  <c r="F128" i="1"/>
  <c r="H128" i="1" s="1"/>
  <c r="F129" i="1"/>
  <c r="H129" i="1" s="1"/>
  <c r="F130" i="1"/>
  <c r="H130" i="1" s="1"/>
  <c r="F136" i="1"/>
  <c r="H136" i="1" s="1"/>
  <c r="F137" i="1"/>
  <c r="H137" i="1" s="1"/>
  <c r="F127" i="1"/>
  <c r="H127" i="1" s="1"/>
  <c r="F131" i="1"/>
  <c r="H131" i="1" s="1"/>
  <c r="F135" i="1"/>
  <c r="H135" i="1" s="1"/>
  <c r="F140" i="1"/>
  <c r="H140" i="1" s="1"/>
  <c r="F139" i="1"/>
  <c r="H139" i="1" s="1"/>
  <c r="F133" i="1"/>
  <c r="H133" i="1" s="1"/>
  <c r="F132" i="1"/>
  <c r="H132" i="1" s="1"/>
  <c r="F138" i="1"/>
  <c r="H138" i="1" s="1"/>
  <c r="F134" i="1"/>
  <c r="H134" i="1" s="1"/>
  <c r="C7" i="2"/>
  <c r="E7" i="2" s="1"/>
  <c r="F108" i="1"/>
  <c r="H108" i="1" s="1"/>
  <c r="F104" i="1"/>
  <c r="H104" i="1" s="1"/>
  <c r="F105" i="1"/>
  <c r="H105" i="1" s="1"/>
  <c r="F115" i="1"/>
  <c r="H115" i="1" s="1"/>
  <c r="F114" i="1"/>
  <c r="H114" i="1" s="1"/>
  <c r="F112" i="1"/>
  <c r="H112" i="1" s="1"/>
  <c r="F109" i="1"/>
  <c r="H109" i="1" s="1"/>
  <c r="F107" i="1"/>
  <c r="H107" i="1" s="1"/>
  <c r="F111" i="1"/>
  <c r="H111" i="1" s="1"/>
  <c r="F119" i="1"/>
  <c r="H119" i="1" s="1"/>
  <c r="F103" i="1"/>
  <c r="H103" i="1" s="1"/>
  <c r="F121" i="1"/>
  <c r="H121" i="1" s="1"/>
  <c r="F118" i="1"/>
  <c r="H118" i="1" s="1"/>
  <c r="F117" i="1"/>
  <c r="H117" i="1" s="1"/>
  <c r="F113" i="1"/>
  <c r="H113" i="1" s="1"/>
  <c r="F106" i="1"/>
  <c r="H106" i="1" s="1"/>
  <c r="F120" i="1"/>
  <c r="H120" i="1" s="1"/>
  <c r="F116" i="1"/>
  <c r="H116" i="1" s="1"/>
  <c r="F110" i="1"/>
  <c r="H110" i="1" s="1"/>
  <c r="C6" i="2"/>
  <c r="E6" i="2" s="1"/>
  <c r="F85" i="1"/>
  <c r="H85" i="1" s="1"/>
  <c r="F87" i="1"/>
  <c r="H87" i="1" s="1"/>
  <c r="F89" i="1"/>
  <c r="H89" i="1" s="1"/>
  <c r="F100" i="1"/>
  <c r="H100" i="1" s="1"/>
  <c r="F98" i="1"/>
  <c r="H98" i="1" s="1"/>
  <c r="F96" i="1"/>
  <c r="H96" i="1" s="1"/>
  <c r="F95" i="1"/>
  <c r="H95" i="1" s="1"/>
  <c r="F91" i="1"/>
  <c r="H91" i="1" s="1"/>
  <c r="F101" i="1"/>
  <c r="H101" i="1" s="1"/>
  <c r="F99" i="1"/>
  <c r="H99" i="1" s="1"/>
  <c r="F92" i="1"/>
  <c r="H92" i="1" s="1"/>
  <c r="F94" i="1"/>
  <c r="H94" i="1" s="1"/>
  <c r="F83" i="1"/>
  <c r="H83" i="1" s="1"/>
  <c r="F90" i="1"/>
  <c r="H90" i="1" s="1"/>
  <c r="F82" i="1"/>
  <c r="H82" i="1" s="1"/>
  <c r="F84" i="1"/>
  <c r="H84" i="1" s="1"/>
  <c r="F88" i="1"/>
  <c r="H88" i="1" s="1"/>
  <c r="F97" i="1"/>
  <c r="H97" i="1" s="1"/>
  <c r="F86" i="1"/>
  <c r="H86" i="1" s="1"/>
  <c r="F93" i="1"/>
  <c r="H93" i="1" s="1"/>
  <c r="C5" i="2"/>
  <c r="E5" i="2" s="1"/>
  <c r="F74" i="1"/>
  <c r="H74" i="1" s="1"/>
  <c r="F70" i="1"/>
  <c r="H70" i="1" s="1"/>
  <c r="F68" i="1"/>
  <c r="H68" i="1" s="1"/>
  <c r="F64" i="1"/>
  <c r="H64" i="1" s="1"/>
  <c r="F81" i="1"/>
  <c r="H81" i="1" s="1"/>
  <c r="F77" i="1"/>
  <c r="H77" i="1" s="1"/>
  <c r="F67" i="1"/>
  <c r="H67" i="1" s="1"/>
  <c r="F65" i="1"/>
  <c r="H65" i="1" s="1"/>
  <c r="F75" i="1"/>
  <c r="H75" i="1" s="1"/>
  <c r="F79" i="1"/>
  <c r="H79" i="1" s="1"/>
  <c r="F63" i="1"/>
  <c r="H63" i="1" s="1"/>
  <c r="F66" i="1"/>
  <c r="H66" i="1" s="1"/>
  <c r="F71" i="1"/>
  <c r="H71" i="1" s="1"/>
  <c r="F72" i="1"/>
  <c r="H72" i="1" s="1"/>
  <c r="F69" i="1"/>
  <c r="H69" i="1" s="1"/>
  <c r="F73" i="1"/>
  <c r="H73" i="1" s="1"/>
  <c r="F76" i="1"/>
  <c r="H76" i="1" s="1"/>
  <c r="F80" i="1"/>
  <c r="H80" i="1" s="1"/>
  <c r="F78" i="1"/>
  <c r="H78" i="1" s="1"/>
  <c r="C4" i="2"/>
  <c r="E4" i="2" s="1"/>
  <c r="F49" i="1"/>
  <c r="H49" i="1" s="1"/>
  <c r="F52" i="1"/>
  <c r="H52" i="1" s="1"/>
  <c r="F48" i="1"/>
  <c r="H48" i="1" s="1"/>
  <c r="F51" i="1"/>
  <c r="H51" i="1" s="1"/>
  <c r="F60" i="1"/>
  <c r="H60" i="1" s="1"/>
  <c r="F56" i="1"/>
  <c r="H56" i="1" s="1"/>
  <c r="F50" i="1"/>
  <c r="H50" i="1" s="1"/>
  <c r="F45" i="1"/>
  <c r="H45" i="1" s="1"/>
  <c r="F43" i="1"/>
  <c r="H43" i="1" s="1"/>
  <c r="F54" i="1"/>
  <c r="H54" i="1" s="1"/>
  <c r="F53" i="1"/>
  <c r="H53" i="1" s="1"/>
  <c r="F58" i="1"/>
  <c r="H58" i="1" s="1"/>
  <c r="F61" i="1"/>
  <c r="H61" i="1" s="1"/>
  <c r="F47" i="1"/>
  <c r="H47" i="1" s="1"/>
  <c r="F44" i="1"/>
  <c r="H44" i="1" s="1"/>
  <c r="F59" i="1"/>
  <c r="H59" i="1" s="1"/>
  <c r="F57" i="1"/>
  <c r="H57" i="1" s="1"/>
  <c r="F55" i="1"/>
  <c r="H55" i="1" s="1"/>
  <c r="F42" i="1"/>
  <c r="H42" i="1" s="1"/>
  <c r="F46" i="1"/>
  <c r="H46" i="1" s="1"/>
  <c r="F36" i="1"/>
  <c r="H36" i="1" s="1"/>
  <c r="F41" i="1"/>
  <c r="H41" i="1" s="1"/>
  <c r="F34" i="1"/>
  <c r="H34" i="1" s="1"/>
  <c r="F28" i="1"/>
  <c r="H28" i="1" s="1"/>
  <c r="F26" i="1"/>
  <c r="H26" i="1" s="1"/>
  <c r="F23" i="1"/>
  <c r="H23" i="1" s="1"/>
  <c r="F22" i="1"/>
  <c r="H22" i="1" s="1"/>
  <c r="F27" i="1"/>
  <c r="H27" i="1" s="1"/>
  <c r="F32" i="1"/>
  <c r="H32" i="1" s="1"/>
  <c r="F30" i="1"/>
  <c r="H30" i="1" s="1"/>
  <c r="F29" i="1"/>
  <c r="H29" i="1" s="1"/>
  <c r="F25" i="1"/>
  <c r="H25" i="1" s="1"/>
  <c r="F37" i="1"/>
  <c r="H37" i="1" s="1"/>
  <c r="F38" i="1"/>
  <c r="H38" i="1" s="1"/>
  <c r="C3" i="2"/>
  <c r="E3" i="2" s="1"/>
  <c r="F40" i="1"/>
  <c r="H40" i="1" s="1"/>
  <c r="F31" i="1"/>
  <c r="H31" i="1" s="1"/>
  <c r="F35" i="1"/>
  <c r="H35" i="1" s="1"/>
  <c r="F24" i="1"/>
  <c r="H24" i="1" s="1"/>
  <c r="F33" i="1"/>
  <c r="H33" i="1" s="1"/>
  <c r="F39" i="1"/>
  <c r="H39" i="1" s="1"/>
  <c r="F9" i="1"/>
  <c r="H9" i="1" s="1"/>
  <c r="F15" i="1"/>
  <c r="H15" i="1" s="1"/>
  <c r="F19" i="1"/>
  <c r="H19" i="1" s="1"/>
  <c r="F16" i="1"/>
  <c r="H16" i="1" s="1"/>
  <c r="F13" i="1"/>
  <c r="H13" i="1" s="1"/>
  <c r="F10" i="1"/>
  <c r="H10" i="1" s="1"/>
  <c r="F14" i="1"/>
  <c r="H14" i="1" s="1"/>
  <c r="F7" i="1"/>
  <c r="H7" i="1" s="1"/>
  <c r="F18" i="1"/>
  <c r="H18" i="1" s="1"/>
  <c r="F20" i="1"/>
  <c r="H20" i="1" s="1"/>
  <c r="F12" i="1"/>
  <c r="H12" i="1" s="1"/>
  <c r="C2" i="2"/>
  <c r="E2" i="2" s="1"/>
  <c r="F6" i="1"/>
  <c r="H6" i="1" s="1"/>
  <c r="F5" i="1"/>
  <c r="H5" i="1" s="1"/>
  <c r="F8" i="1"/>
  <c r="H8" i="1" s="1"/>
  <c r="F17" i="1"/>
  <c r="H17" i="1" s="1"/>
  <c r="F3" i="1"/>
  <c r="H3" i="1" s="1"/>
  <c r="F4" i="1"/>
  <c r="H4" i="1" s="1"/>
  <c r="F21" i="1"/>
  <c r="H21" i="1" s="1"/>
  <c r="F11" i="1"/>
  <c r="H11" i="1" s="1"/>
</calcChain>
</file>

<file path=xl/sharedStrings.xml><?xml version="1.0" encoding="utf-8"?>
<sst xmlns="http://schemas.openxmlformats.org/spreadsheetml/2006/main" count="244" uniqueCount="21">
  <si>
    <t>Comparison</t>
  </si>
  <si>
    <t>Seed</t>
  </si>
  <si>
    <t>Run A</t>
  </si>
  <si>
    <t>Run B</t>
  </si>
  <si>
    <t>Paired Difference D</t>
  </si>
  <si>
    <t>Mean(D)</t>
  </si>
  <si>
    <t>SD(D)</t>
  </si>
  <si>
    <t>Cohen dz</t>
  </si>
  <si>
    <t>Proposed vs. LSTM</t>
  </si>
  <si>
    <t>Proposed vs. Transformer</t>
  </si>
  <si>
    <t>Proposed vs. Graph WaveNet</t>
  </si>
  <si>
    <t>Proposed vs. Persistence</t>
  </si>
  <si>
    <t>Proposed vs. STGCN</t>
  </si>
  <si>
    <t>24 h adaptation vs. zero-shot</t>
  </si>
  <si>
    <t>72 h adaptation vs. zero-shot</t>
  </si>
  <si>
    <t>7 d adaptation vs. zero-shot</t>
  </si>
  <si>
    <t>Continual vs. zero-shot</t>
  </si>
  <si>
    <t>Full vs. no harmonization</t>
  </si>
  <si>
    <t>Full vs. no masking</t>
  </si>
  <si>
    <t>Target dz (Table 16)</t>
  </si>
  <si>
    <t>Calculated 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</si>
</sst>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opLeftCell="A97" workbookViewId="0">
      <selection activeCell="C107" sqref="C107"/>
    </sheetView>
  </sheetViews>
  <sheetFormatPr defaultRowHeight="14.25"/>
  <cols>
    <col min="1" max="1" width="31" customWidth="1"/>
    <col min="2" max="2" width="8" customWidth="1"/>
    <col min="3" max="8" width="16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s="2">
        <v>0.53741000000000005</v>
      </c>
      <c r="D2" s="2">
        <v>0.52276999999999996</v>
      </c>
      <c r="E2" s="2">
        <f t="shared" ref="E2:E65" si="0">D2-C2</f>
        <v>-1.4640000000000097E-2</v>
      </c>
      <c r="F2" s="2">
        <f t="shared" ref="F2:F21" si="1">AVERAGE($E$2:$E$21)</f>
        <v>1.6236999999999984E-2</v>
      </c>
      <c r="G2" s="2">
        <f>_xlfn.STDEV.S($E$2:$E$21)</f>
        <v>1.7999830145397421E-2</v>
      </c>
      <c r="H2" s="2">
        <f t="shared" ref="H2:H65" si="2">F2/G2</f>
        <v>0.90206406776298409</v>
      </c>
    </row>
    <row r="3" spans="1:8">
      <c r="A3" t="s">
        <v>8</v>
      </c>
      <c r="B3">
        <v>2</v>
      </c>
      <c r="C3" s="2">
        <v>0.56193000000000004</v>
      </c>
      <c r="D3" s="2">
        <v>0.58613999999999999</v>
      </c>
      <c r="E3" s="2">
        <f t="shared" si="0"/>
        <v>2.4209999999999954E-2</v>
      </c>
      <c r="F3" s="2">
        <f t="shared" si="1"/>
        <v>1.6236999999999984E-2</v>
      </c>
      <c r="G3" s="2">
        <f t="shared" ref="G3:G66" si="3">_xlfn.STDEV.S($E$2:$E$21)</f>
        <v>1.7999830145397421E-2</v>
      </c>
      <c r="H3" s="2">
        <f t="shared" si="2"/>
        <v>0.90206406776298409</v>
      </c>
    </row>
    <row r="4" spans="1:8">
      <c r="A4" t="s">
        <v>8</v>
      </c>
      <c r="B4">
        <v>3</v>
      </c>
      <c r="C4" s="2">
        <v>0.57782</v>
      </c>
      <c r="D4" s="2">
        <v>0.58025000000000004</v>
      </c>
      <c r="E4" s="2">
        <f t="shared" si="0"/>
        <v>2.4300000000000432E-3</v>
      </c>
      <c r="F4" s="2">
        <f t="shared" si="1"/>
        <v>1.6236999999999984E-2</v>
      </c>
      <c r="G4" s="2">
        <f t="shared" si="3"/>
        <v>1.7999830145397421E-2</v>
      </c>
      <c r="H4" s="2">
        <f t="shared" si="2"/>
        <v>0.90206406776298409</v>
      </c>
    </row>
    <row r="5" spans="1:8">
      <c r="A5" t="s">
        <v>8</v>
      </c>
      <c r="B5">
        <v>4</v>
      </c>
      <c r="C5" s="2">
        <v>0.56330999999999998</v>
      </c>
      <c r="D5" s="2">
        <v>0.60158999999999996</v>
      </c>
      <c r="E5" s="2">
        <f t="shared" si="0"/>
        <v>3.8279999999999981E-2</v>
      </c>
      <c r="F5" s="2">
        <f t="shared" si="1"/>
        <v>1.6236999999999984E-2</v>
      </c>
      <c r="G5" s="2">
        <f t="shared" si="3"/>
        <v>1.7999830145397421E-2</v>
      </c>
      <c r="H5" s="2">
        <f t="shared" si="2"/>
        <v>0.90206406776298409</v>
      </c>
    </row>
    <row r="6" spans="1:8">
      <c r="A6" t="s">
        <v>8</v>
      </c>
      <c r="B6">
        <v>5</v>
      </c>
      <c r="C6" s="2">
        <v>0.57882</v>
      </c>
      <c r="D6" s="2">
        <v>0.59082999999999997</v>
      </c>
      <c r="E6" s="2">
        <f t="shared" si="0"/>
        <v>1.2009999999999965E-2</v>
      </c>
      <c r="F6" s="2">
        <f t="shared" si="1"/>
        <v>1.6236999999999984E-2</v>
      </c>
      <c r="G6" s="2">
        <f t="shared" si="3"/>
        <v>1.7999830145397421E-2</v>
      </c>
      <c r="H6" s="2">
        <f t="shared" si="2"/>
        <v>0.90206406776298409</v>
      </c>
    </row>
    <row r="7" spans="1:8">
      <c r="A7" t="s">
        <v>8</v>
      </c>
      <c r="B7">
        <v>6</v>
      </c>
      <c r="C7" s="2">
        <v>0.55079999999999996</v>
      </c>
      <c r="D7" s="2">
        <v>0.58231999999999995</v>
      </c>
      <c r="E7" s="2">
        <f t="shared" si="0"/>
        <v>3.1519999999999992E-2</v>
      </c>
      <c r="F7" s="2">
        <f t="shared" si="1"/>
        <v>1.6236999999999984E-2</v>
      </c>
      <c r="G7" s="2">
        <f t="shared" si="3"/>
        <v>1.7999830145397421E-2</v>
      </c>
      <c r="H7" s="2">
        <f t="shared" si="2"/>
        <v>0.90206406776298409</v>
      </c>
    </row>
    <row r="8" spans="1:8">
      <c r="A8" t="s">
        <v>8</v>
      </c>
      <c r="B8">
        <v>7</v>
      </c>
      <c r="C8" s="2">
        <v>0.54879999999999995</v>
      </c>
      <c r="D8" s="2">
        <v>0.54447999999999996</v>
      </c>
      <c r="E8" s="2">
        <f t="shared" si="0"/>
        <v>-4.3199999999999905E-3</v>
      </c>
      <c r="F8" s="2">
        <f t="shared" si="1"/>
        <v>1.6236999999999984E-2</v>
      </c>
      <c r="G8" s="2">
        <f t="shared" si="3"/>
        <v>1.7999830145397421E-2</v>
      </c>
      <c r="H8" s="2">
        <f t="shared" si="2"/>
        <v>0.90206406776298409</v>
      </c>
    </row>
    <row r="9" spans="1:8">
      <c r="A9" t="s">
        <v>8</v>
      </c>
      <c r="B9">
        <v>8</v>
      </c>
      <c r="C9" s="2">
        <v>0.55367999999999995</v>
      </c>
      <c r="D9" s="2">
        <v>0.57281000000000004</v>
      </c>
      <c r="E9" s="2">
        <f t="shared" si="0"/>
        <v>1.9130000000000091E-2</v>
      </c>
      <c r="F9" s="2">
        <f t="shared" si="1"/>
        <v>1.6236999999999984E-2</v>
      </c>
      <c r="G9" s="2">
        <f t="shared" si="3"/>
        <v>1.7999830145397421E-2</v>
      </c>
      <c r="H9" s="2">
        <f t="shared" si="2"/>
        <v>0.90206406776298409</v>
      </c>
    </row>
    <row r="10" spans="1:8">
      <c r="A10" t="s">
        <v>8</v>
      </c>
      <c r="B10">
        <v>9</v>
      </c>
      <c r="C10" s="2">
        <v>0.56593000000000004</v>
      </c>
      <c r="D10" s="2">
        <v>0.61041000000000001</v>
      </c>
      <c r="E10" s="2">
        <f t="shared" si="0"/>
        <v>4.4479999999999964E-2</v>
      </c>
      <c r="F10" s="2">
        <f t="shared" si="1"/>
        <v>1.6236999999999984E-2</v>
      </c>
      <c r="G10" s="2">
        <f t="shared" si="3"/>
        <v>1.7999830145397421E-2</v>
      </c>
      <c r="H10" s="2">
        <f t="shared" si="2"/>
        <v>0.90206406776298409</v>
      </c>
    </row>
    <row r="11" spans="1:8">
      <c r="A11" t="s">
        <v>8</v>
      </c>
      <c r="B11">
        <v>10</v>
      </c>
      <c r="C11" s="2">
        <v>0.57269000000000003</v>
      </c>
      <c r="D11" s="2">
        <v>0.57943999999999996</v>
      </c>
      <c r="E11" s="2">
        <f t="shared" si="0"/>
        <v>6.7499999999999227E-3</v>
      </c>
      <c r="F11" s="2">
        <f t="shared" si="1"/>
        <v>1.6236999999999984E-2</v>
      </c>
      <c r="G11" s="2">
        <f t="shared" si="3"/>
        <v>1.7999830145397421E-2</v>
      </c>
      <c r="H11" s="2">
        <f t="shared" si="2"/>
        <v>0.90206406776298409</v>
      </c>
    </row>
    <row r="12" spans="1:8">
      <c r="A12" t="s">
        <v>8</v>
      </c>
      <c r="B12">
        <v>11</v>
      </c>
      <c r="C12" s="2">
        <v>0.56744000000000006</v>
      </c>
      <c r="D12" s="2">
        <v>0.59482999999999997</v>
      </c>
      <c r="E12" s="2">
        <f t="shared" si="0"/>
        <v>2.7389999999999914E-2</v>
      </c>
      <c r="F12" s="2">
        <f t="shared" si="1"/>
        <v>1.6236999999999984E-2</v>
      </c>
      <c r="G12" s="2">
        <f t="shared" si="3"/>
        <v>1.7999830145397421E-2</v>
      </c>
      <c r="H12" s="2">
        <f t="shared" si="2"/>
        <v>0.90206406776298409</v>
      </c>
    </row>
    <row r="13" spans="1:8">
      <c r="A13" t="s">
        <v>8</v>
      </c>
      <c r="B13">
        <v>12</v>
      </c>
      <c r="C13" s="2">
        <v>0.54340999999999995</v>
      </c>
      <c r="D13" s="2">
        <v>0.53478000000000003</v>
      </c>
      <c r="E13" s="2">
        <f t="shared" si="0"/>
        <v>-8.6299999999999155E-3</v>
      </c>
      <c r="F13" s="2">
        <f t="shared" si="1"/>
        <v>1.6236999999999984E-2</v>
      </c>
      <c r="G13" s="2">
        <f t="shared" si="3"/>
        <v>1.7999830145397421E-2</v>
      </c>
      <c r="H13" s="2">
        <f t="shared" si="2"/>
        <v>0.90206406776298409</v>
      </c>
    </row>
    <row r="14" spans="1:8">
      <c r="A14" t="s">
        <v>8</v>
      </c>
      <c r="B14">
        <v>13</v>
      </c>
      <c r="C14" s="2">
        <v>0.55518000000000001</v>
      </c>
      <c r="D14" s="2">
        <v>0.58914</v>
      </c>
      <c r="E14" s="2">
        <f t="shared" si="0"/>
        <v>3.395999999999999E-2</v>
      </c>
      <c r="F14" s="2">
        <f t="shared" si="1"/>
        <v>1.6236999999999984E-2</v>
      </c>
      <c r="G14" s="2">
        <f t="shared" si="3"/>
        <v>1.7999830145397421E-2</v>
      </c>
      <c r="H14" s="2">
        <f t="shared" si="2"/>
        <v>0.90206406776298409</v>
      </c>
    </row>
    <row r="15" spans="1:8">
      <c r="A15" t="s">
        <v>8</v>
      </c>
      <c r="B15">
        <v>14</v>
      </c>
      <c r="C15" s="2">
        <v>0.54342000000000001</v>
      </c>
      <c r="D15" s="2">
        <v>0.55861000000000005</v>
      </c>
      <c r="E15" s="2">
        <f t="shared" si="0"/>
        <v>1.5190000000000037E-2</v>
      </c>
      <c r="F15" s="2">
        <f t="shared" si="1"/>
        <v>1.6236999999999984E-2</v>
      </c>
      <c r="G15" s="2">
        <f t="shared" si="3"/>
        <v>1.7999830145397421E-2</v>
      </c>
      <c r="H15" s="2">
        <f t="shared" si="2"/>
        <v>0.90206406776298409</v>
      </c>
    </row>
    <row r="16" spans="1:8">
      <c r="A16" t="s">
        <v>8</v>
      </c>
      <c r="B16">
        <v>15</v>
      </c>
      <c r="C16" s="2">
        <v>0.57081000000000004</v>
      </c>
      <c r="D16" s="2">
        <v>0.61077999999999999</v>
      </c>
      <c r="E16" s="2">
        <f t="shared" si="0"/>
        <v>3.996999999999995E-2</v>
      </c>
      <c r="F16" s="2">
        <f t="shared" si="1"/>
        <v>1.6236999999999984E-2</v>
      </c>
      <c r="G16" s="2">
        <f t="shared" si="3"/>
        <v>1.7999830145397421E-2</v>
      </c>
      <c r="H16" s="2">
        <f t="shared" si="2"/>
        <v>0.90206406776298409</v>
      </c>
    </row>
    <row r="17" spans="1:8">
      <c r="A17" t="s">
        <v>8</v>
      </c>
      <c r="B17">
        <v>16</v>
      </c>
      <c r="C17" s="2">
        <v>0.56818999999999997</v>
      </c>
      <c r="D17" s="2">
        <v>0.56762000000000001</v>
      </c>
      <c r="E17" s="2">
        <f t="shared" si="0"/>
        <v>-5.6999999999995943E-4</v>
      </c>
      <c r="F17" s="2">
        <f t="shared" si="1"/>
        <v>1.6236999999999984E-2</v>
      </c>
      <c r="G17" s="2">
        <f t="shared" si="3"/>
        <v>1.7999830145397421E-2</v>
      </c>
      <c r="H17" s="2">
        <f t="shared" si="2"/>
        <v>0.90206406776298409</v>
      </c>
    </row>
    <row r="18" spans="1:8">
      <c r="A18" t="s">
        <v>8</v>
      </c>
      <c r="B18">
        <v>17</v>
      </c>
      <c r="C18" s="2">
        <v>0.57181999999999999</v>
      </c>
      <c r="D18" s="2">
        <v>0.59394999999999998</v>
      </c>
      <c r="E18" s="2">
        <f t="shared" si="0"/>
        <v>2.2129999999999983E-2</v>
      </c>
      <c r="F18" s="2">
        <f t="shared" si="1"/>
        <v>1.6236999999999984E-2</v>
      </c>
      <c r="G18" s="2">
        <f t="shared" si="3"/>
        <v>1.7999830145397421E-2</v>
      </c>
      <c r="H18" s="2">
        <f t="shared" si="2"/>
        <v>0.90206406776298409</v>
      </c>
    </row>
    <row r="19" spans="1:8">
      <c r="A19" t="s">
        <v>8</v>
      </c>
      <c r="B19">
        <v>18</v>
      </c>
      <c r="C19" s="2">
        <v>0.56293000000000004</v>
      </c>
      <c r="D19" s="2">
        <v>0.55128999999999995</v>
      </c>
      <c r="E19" s="2">
        <f t="shared" si="0"/>
        <v>-1.1640000000000095E-2</v>
      </c>
      <c r="F19" s="2">
        <f t="shared" si="1"/>
        <v>1.6236999999999984E-2</v>
      </c>
      <c r="G19" s="2">
        <f t="shared" si="3"/>
        <v>1.7999830145397421E-2</v>
      </c>
      <c r="H19" s="2">
        <f t="shared" si="2"/>
        <v>0.90206406776298409</v>
      </c>
    </row>
    <row r="20" spans="1:8">
      <c r="A20" t="s">
        <v>8</v>
      </c>
      <c r="B20">
        <v>19</v>
      </c>
      <c r="C20" s="2">
        <v>0.54429000000000005</v>
      </c>
      <c r="D20" s="2">
        <v>0.57374999999999998</v>
      </c>
      <c r="E20" s="2">
        <f t="shared" si="0"/>
        <v>2.9459999999999931E-2</v>
      </c>
      <c r="F20" s="2">
        <f t="shared" si="1"/>
        <v>1.6236999999999984E-2</v>
      </c>
      <c r="G20" s="2">
        <f t="shared" si="3"/>
        <v>1.7999830145397421E-2</v>
      </c>
      <c r="H20" s="2">
        <f t="shared" si="2"/>
        <v>0.90206406776298409</v>
      </c>
    </row>
    <row r="21" spans="1:8">
      <c r="A21" t="s">
        <v>8</v>
      </c>
      <c r="B21">
        <v>20</v>
      </c>
      <c r="C21" s="2">
        <v>0.55930999999999997</v>
      </c>
      <c r="D21" s="2">
        <v>0.57694000000000001</v>
      </c>
      <c r="E21" s="2">
        <f t="shared" si="0"/>
        <v>1.7630000000000035E-2</v>
      </c>
      <c r="F21" s="2">
        <f t="shared" si="1"/>
        <v>1.6236999999999984E-2</v>
      </c>
      <c r="G21" s="2">
        <f t="shared" si="3"/>
        <v>1.7999830145397421E-2</v>
      </c>
      <c r="H21" s="2">
        <f t="shared" si="2"/>
        <v>0.90206406776298409</v>
      </c>
    </row>
    <row r="22" spans="1:8">
      <c r="A22" t="s">
        <v>9</v>
      </c>
      <c r="B22">
        <v>1</v>
      </c>
      <c r="C22" s="2">
        <v>0.59269000000000005</v>
      </c>
      <c r="D22" s="2">
        <v>0.57474999999999998</v>
      </c>
      <c r="E22" s="2">
        <f t="shared" si="0"/>
        <v>-1.7940000000000067E-2</v>
      </c>
      <c r="F22" s="2">
        <f t="shared" ref="F22:F41" si="4">AVERAGE($E$22:$E$41)</f>
        <v>1.8942000000000007E-2</v>
      </c>
      <c r="G22" s="2">
        <f t="shared" si="3"/>
        <v>1.7999830145397421E-2</v>
      </c>
      <c r="H22" s="2">
        <f t="shared" si="2"/>
        <v>1.0523432636303793</v>
      </c>
    </row>
    <row r="23" spans="1:8">
      <c r="A23" t="s">
        <v>9</v>
      </c>
      <c r="B23">
        <v>2</v>
      </c>
      <c r="C23" s="2">
        <v>0.58743999999999996</v>
      </c>
      <c r="D23" s="2">
        <v>0.61589000000000005</v>
      </c>
      <c r="E23" s="2">
        <f t="shared" si="0"/>
        <v>2.8450000000000086E-2</v>
      </c>
      <c r="F23" s="2">
        <f t="shared" si="4"/>
        <v>1.8942000000000007E-2</v>
      </c>
      <c r="G23" s="2">
        <f t="shared" si="3"/>
        <v>1.7999830145397421E-2</v>
      </c>
      <c r="H23" s="2">
        <f t="shared" si="2"/>
        <v>1.0523432636303793</v>
      </c>
    </row>
    <row r="24" spans="1:8">
      <c r="A24" t="s">
        <v>9</v>
      </c>
      <c r="B24">
        <v>3</v>
      </c>
      <c r="C24" s="2">
        <v>0.55740999999999996</v>
      </c>
      <c r="D24" s="2">
        <v>0.55986999999999998</v>
      </c>
      <c r="E24" s="2">
        <f t="shared" si="0"/>
        <v>2.4600000000000177E-3</v>
      </c>
      <c r="F24" s="2">
        <f t="shared" si="4"/>
        <v>1.8942000000000007E-2</v>
      </c>
      <c r="G24" s="2">
        <f t="shared" si="3"/>
        <v>1.7999830145397421E-2</v>
      </c>
      <c r="H24" s="2">
        <f t="shared" si="2"/>
        <v>1.0523432636303793</v>
      </c>
    </row>
    <row r="25" spans="1:8">
      <c r="A25" t="s">
        <v>9</v>
      </c>
      <c r="B25">
        <v>4</v>
      </c>
      <c r="C25" s="2">
        <v>0.57518000000000002</v>
      </c>
      <c r="D25" s="2">
        <v>0.62044999999999995</v>
      </c>
      <c r="E25" s="2">
        <f t="shared" si="0"/>
        <v>4.5269999999999921E-2</v>
      </c>
      <c r="F25" s="2">
        <f t="shared" si="4"/>
        <v>1.8942000000000007E-2</v>
      </c>
      <c r="G25" s="2">
        <f t="shared" si="3"/>
        <v>1.7999830145397421E-2</v>
      </c>
      <c r="H25" s="2">
        <f t="shared" si="2"/>
        <v>1.0523432636303793</v>
      </c>
    </row>
    <row r="26" spans="1:8">
      <c r="A26" t="s">
        <v>9</v>
      </c>
      <c r="B26">
        <v>5</v>
      </c>
      <c r="C26" s="2">
        <v>0.56342000000000003</v>
      </c>
      <c r="D26" s="2">
        <v>0.57730000000000004</v>
      </c>
      <c r="E26" s="2">
        <f t="shared" si="0"/>
        <v>1.3880000000000003E-2</v>
      </c>
      <c r="F26" s="2">
        <f t="shared" si="4"/>
        <v>1.8942000000000007E-2</v>
      </c>
      <c r="G26" s="2">
        <f t="shared" si="3"/>
        <v>1.7999830145397421E-2</v>
      </c>
      <c r="H26" s="2">
        <f t="shared" si="2"/>
        <v>1.0523432636303793</v>
      </c>
    </row>
    <row r="27" spans="1:8">
      <c r="A27" t="s">
        <v>9</v>
      </c>
      <c r="B27">
        <v>6</v>
      </c>
      <c r="C27" s="2">
        <v>0.58481000000000005</v>
      </c>
      <c r="D27" s="2">
        <v>0.62200999999999995</v>
      </c>
      <c r="E27" s="2">
        <f t="shared" si="0"/>
        <v>3.71999999999999E-2</v>
      </c>
      <c r="F27" s="2">
        <f t="shared" si="4"/>
        <v>1.8942000000000007E-2</v>
      </c>
      <c r="G27" s="2">
        <f t="shared" si="3"/>
        <v>1.7999830145397421E-2</v>
      </c>
      <c r="H27" s="2">
        <f t="shared" si="2"/>
        <v>1.0523432636303793</v>
      </c>
    </row>
    <row r="28" spans="1:8">
      <c r="A28" t="s">
        <v>9</v>
      </c>
      <c r="B28">
        <v>7</v>
      </c>
      <c r="C28" s="2">
        <v>0.58818999999999999</v>
      </c>
      <c r="D28" s="2">
        <v>0.58257999999999999</v>
      </c>
      <c r="E28" s="2">
        <f t="shared" si="0"/>
        <v>-5.6100000000000039E-3</v>
      </c>
      <c r="F28" s="2">
        <f t="shared" si="4"/>
        <v>1.8942000000000007E-2</v>
      </c>
      <c r="G28" s="2">
        <f t="shared" si="3"/>
        <v>1.7999830145397421E-2</v>
      </c>
      <c r="H28" s="2">
        <f t="shared" si="2"/>
        <v>1.0523432636303793</v>
      </c>
    </row>
    <row r="29" spans="1:8">
      <c r="A29" t="s">
        <v>9</v>
      </c>
      <c r="B29">
        <v>8</v>
      </c>
      <c r="C29" s="2">
        <v>0.59182000000000001</v>
      </c>
      <c r="D29" s="2">
        <v>0.61421999999999999</v>
      </c>
      <c r="E29" s="2">
        <f t="shared" si="0"/>
        <v>2.2399999999999975E-2</v>
      </c>
      <c r="F29" s="2">
        <f t="shared" si="4"/>
        <v>1.8942000000000007E-2</v>
      </c>
      <c r="G29" s="2">
        <f t="shared" si="3"/>
        <v>1.7999830145397421E-2</v>
      </c>
      <c r="H29" s="2">
        <f t="shared" si="2"/>
        <v>1.0523432636303793</v>
      </c>
    </row>
    <row r="30" spans="1:8">
      <c r="A30" t="s">
        <v>9</v>
      </c>
      <c r="B30">
        <v>9</v>
      </c>
      <c r="C30" s="2">
        <v>0.57693000000000005</v>
      </c>
      <c r="D30" s="2">
        <v>0.62960000000000005</v>
      </c>
      <c r="E30" s="2">
        <f t="shared" si="0"/>
        <v>5.2669999999999995E-2</v>
      </c>
      <c r="F30" s="2">
        <f t="shared" si="4"/>
        <v>1.8942000000000007E-2</v>
      </c>
      <c r="G30" s="2">
        <f t="shared" si="3"/>
        <v>1.7999830145397421E-2</v>
      </c>
      <c r="H30" s="2">
        <f t="shared" si="2"/>
        <v>1.0523432636303793</v>
      </c>
    </row>
    <row r="31" spans="1:8">
      <c r="A31" t="s">
        <v>9</v>
      </c>
      <c r="B31">
        <v>10</v>
      </c>
      <c r="C31" s="2">
        <v>0.56428999999999996</v>
      </c>
      <c r="D31" s="2">
        <v>0.57189999999999996</v>
      </c>
      <c r="E31" s="2">
        <f t="shared" si="0"/>
        <v>7.6100000000000056E-3</v>
      </c>
      <c r="F31" s="2">
        <f t="shared" si="4"/>
        <v>1.8942000000000007E-2</v>
      </c>
      <c r="G31" s="2">
        <f t="shared" si="3"/>
        <v>1.7999830145397421E-2</v>
      </c>
      <c r="H31" s="2">
        <f t="shared" si="2"/>
        <v>1.0523432636303793</v>
      </c>
    </row>
    <row r="32" spans="1:8">
      <c r="A32" t="s">
        <v>9</v>
      </c>
      <c r="B32">
        <v>11</v>
      </c>
      <c r="C32" s="2">
        <v>0.57930999999999999</v>
      </c>
      <c r="D32" s="2">
        <v>0.61156999999999995</v>
      </c>
      <c r="E32" s="2">
        <f t="shared" si="0"/>
        <v>3.2259999999999955E-2</v>
      </c>
      <c r="F32" s="2">
        <f t="shared" si="4"/>
        <v>1.8942000000000007E-2</v>
      </c>
      <c r="G32" s="2">
        <f t="shared" si="3"/>
        <v>1.7999830145397421E-2</v>
      </c>
      <c r="H32" s="2">
        <f t="shared" si="2"/>
        <v>1.0523432636303793</v>
      </c>
    </row>
    <row r="33" spans="1:8">
      <c r="A33" t="s">
        <v>9</v>
      </c>
      <c r="B33">
        <v>12</v>
      </c>
      <c r="C33" s="2">
        <v>0.55540999999999996</v>
      </c>
      <c r="D33" s="2">
        <v>0.54464000000000001</v>
      </c>
      <c r="E33" s="2">
        <f t="shared" si="0"/>
        <v>-1.0769999999999946E-2</v>
      </c>
      <c r="F33" s="2">
        <f t="shared" si="4"/>
        <v>1.8942000000000007E-2</v>
      </c>
      <c r="G33" s="2">
        <f t="shared" si="3"/>
        <v>1.7999830145397421E-2</v>
      </c>
      <c r="H33" s="2">
        <f t="shared" si="2"/>
        <v>1.0523432636303793</v>
      </c>
    </row>
    <row r="34" spans="1:8">
      <c r="A34" t="s">
        <v>9</v>
      </c>
      <c r="B34">
        <v>13</v>
      </c>
      <c r="C34" s="2">
        <v>0.57992999999999995</v>
      </c>
      <c r="D34" s="2">
        <v>0.62004999999999999</v>
      </c>
      <c r="E34" s="2">
        <f t="shared" si="0"/>
        <v>4.0120000000000045E-2</v>
      </c>
      <c r="F34" s="2">
        <f t="shared" si="4"/>
        <v>1.8942000000000007E-2</v>
      </c>
      <c r="G34" s="2">
        <f t="shared" si="3"/>
        <v>1.7999830145397421E-2</v>
      </c>
      <c r="H34" s="2">
        <f t="shared" si="2"/>
        <v>1.0523432636303793</v>
      </c>
    </row>
    <row r="35" spans="1:8">
      <c r="A35" t="s">
        <v>9</v>
      </c>
      <c r="B35">
        <v>14</v>
      </c>
      <c r="C35" s="2">
        <v>0.59582000000000002</v>
      </c>
      <c r="D35" s="2">
        <v>0.61351999999999995</v>
      </c>
      <c r="E35" s="2">
        <f t="shared" si="0"/>
        <v>1.7699999999999938E-2</v>
      </c>
      <c r="F35" s="2">
        <f t="shared" si="4"/>
        <v>1.8942000000000007E-2</v>
      </c>
      <c r="G35" s="2">
        <f t="shared" si="3"/>
        <v>1.7999830145397421E-2</v>
      </c>
      <c r="H35" s="2">
        <f t="shared" si="2"/>
        <v>1.0523432636303793</v>
      </c>
    </row>
    <row r="36" spans="1:8">
      <c r="A36" t="s">
        <v>9</v>
      </c>
      <c r="B36">
        <v>15</v>
      </c>
      <c r="C36" s="2">
        <v>0.58130999999999999</v>
      </c>
      <c r="D36" s="2">
        <v>0.62860000000000005</v>
      </c>
      <c r="E36" s="2">
        <f t="shared" si="0"/>
        <v>4.7290000000000054E-2</v>
      </c>
      <c r="F36" s="2">
        <f t="shared" si="4"/>
        <v>1.8942000000000007E-2</v>
      </c>
      <c r="G36" s="2">
        <f t="shared" si="3"/>
        <v>1.7999830145397421E-2</v>
      </c>
      <c r="H36" s="2">
        <f t="shared" si="2"/>
        <v>1.0523432636303793</v>
      </c>
    </row>
    <row r="37" spans="1:8">
      <c r="A37" t="s">
        <v>9</v>
      </c>
      <c r="B37">
        <v>16</v>
      </c>
      <c r="C37" s="2">
        <v>0.59682000000000002</v>
      </c>
      <c r="D37" s="2">
        <v>0.59569000000000005</v>
      </c>
      <c r="E37" s="2">
        <f t="shared" si="0"/>
        <v>-1.1299999999999644E-3</v>
      </c>
      <c r="F37" s="2">
        <f t="shared" si="4"/>
        <v>1.8942000000000007E-2</v>
      </c>
      <c r="G37" s="2">
        <f t="shared" si="3"/>
        <v>1.7999830145397421E-2</v>
      </c>
      <c r="H37" s="2">
        <f t="shared" si="2"/>
        <v>1.0523432636303793</v>
      </c>
    </row>
    <row r="38" spans="1:8">
      <c r="A38" t="s">
        <v>9</v>
      </c>
      <c r="B38">
        <v>17</v>
      </c>
      <c r="C38" s="2">
        <v>0.56879999999999997</v>
      </c>
      <c r="D38" s="2">
        <v>0.59479000000000004</v>
      </c>
      <c r="E38" s="2">
        <f t="shared" si="0"/>
        <v>2.5990000000000069E-2</v>
      </c>
      <c r="F38" s="2">
        <f t="shared" si="4"/>
        <v>1.8942000000000007E-2</v>
      </c>
      <c r="G38" s="2">
        <f t="shared" si="3"/>
        <v>1.7999830145397421E-2</v>
      </c>
      <c r="H38" s="2">
        <f t="shared" si="2"/>
        <v>1.0523432636303793</v>
      </c>
    </row>
    <row r="39" spans="1:8">
      <c r="A39" t="s">
        <v>9</v>
      </c>
      <c r="B39">
        <v>18</v>
      </c>
      <c r="C39" s="2">
        <v>0.56679999999999997</v>
      </c>
      <c r="D39" s="2">
        <v>0.55244000000000004</v>
      </c>
      <c r="E39" s="2">
        <f t="shared" si="0"/>
        <v>-1.4359999999999928E-2</v>
      </c>
      <c r="F39" s="2">
        <f t="shared" si="4"/>
        <v>1.8942000000000007E-2</v>
      </c>
      <c r="G39" s="2">
        <f t="shared" si="3"/>
        <v>1.7999830145397421E-2</v>
      </c>
      <c r="H39" s="2">
        <f t="shared" si="2"/>
        <v>1.0523432636303793</v>
      </c>
    </row>
    <row r="40" spans="1:8">
      <c r="A40" t="s">
        <v>9</v>
      </c>
      <c r="B40">
        <v>19</v>
      </c>
      <c r="C40" s="2">
        <v>0.57167999999999997</v>
      </c>
      <c r="D40" s="2">
        <v>0.60641</v>
      </c>
      <c r="E40" s="2">
        <f t="shared" si="0"/>
        <v>3.4730000000000039E-2</v>
      </c>
      <c r="F40" s="2">
        <f t="shared" si="4"/>
        <v>1.8942000000000007E-2</v>
      </c>
      <c r="G40" s="2">
        <f t="shared" si="3"/>
        <v>1.7999830145397421E-2</v>
      </c>
      <c r="H40" s="2">
        <f t="shared" si="2"/>
        <v>1.0523432636303793</v>
      </c>
    </row>
    <row r="41" spans="1:8">
      <c r="A41" t="s">
        <v>9</v>
      </c>
      <c r="B41">
        <v>20</v>
      </c>
      <c r="C41" s="2">
        <v>0.58392999999999995</v>
      </c>
      <c r="D41" s="2">
        <v>0.60455000000000003</v>
      </c>
      <c r="E41" s="2">
        <f t="shared" si="0"/>
        <v>2.0620000000000083E-2</v>
      </c>
      <c r="F41" s="2">
        <f t="shared" si="4"/>
        <v>1.8942000000000007E-2</v>
      </c>
      <c r="G41" s="2">
        <f t="shared" si="3"/>
        <v>1.7999830145397421E-2</v>
      </c>
      <c r="H41" s="2">
        <f t="shared" si="2"/>
        <v>1.0523432636303793</v>
      </c>
    </row>
    <row r="42" spans="1:8">
      <c r="A42" t="s">
        <v>10</v>
      </c>
      <c r="B42">
        <v>1</v>
      </c>
      <c r="C42" s="2">
        <v>0.58428999999999998</v>
      </c>
      <c r="D42" s="2">
        <v>0.56552999999999998</v>
      </c>
      <c r="E42" s="2">
        <f t="shared" si="0"/>
        <v>-1.8759999999999999E-2</v>
      </c>
      <c r="F42" s="2">
        <f t="shared" ref="F42:F61" si="5">AVERAGE($E$42:$E$61)</f>
        <v>2.4126000000000009E-2</v>
      </c>
      <c r="G42" s="2">
        <f t="shared" si="3"/>
        <v>1.7999830145397421E-2</v>
      </c>
      <c r="H42" s="2">
        <f t="shared" si="2"/>
        <v>1.3403459813296659</v>
      </c>
    </row>
    <row r="43" spans="1:8">
      <c r="A43" t="s">
        <v>10</v>
      </c>
      <c r="B43">
        <v>2</v>
      </c>
      <c r="C43" s="2">
        <v>0.59331</v>
      </c>
      <c r="D43" s="2">
        <v>0.62849999999999995</v>
      </c>
      <c r="E43" s="2">
        <f t="shared" si="0"/>
        <v>3.5189999999999944E-2</v>
      </c>
      <c r="F43" s="2">
        <f t="shared" si="5"/>
        <v>2.4126000000000009E-2</v>
      </c>
      <c r="G43" s="2">
        <f t="shared" si="3"/>
        <v>1.7999830145397421E-2</v>
      </c>
      <c r="H43" s="2">
        <f t="shared" si="2"/>
        <v>1.3403459813296659</v>
      </c>
    </row>
    <row r="44" spans="1:8">
      <c r="A44" t="s">
        <v>10</v>
      </c>
      <c r="B44">
        <v>3</v>
      </c>
      <c r="C44" s="2">
        <v>0.57540999999999998</v>
      </c>
      <c r="D44" s="2">
        <v>0.58037000000000005</v>
      </c>
      <c r="E44" s="2">
        <f t="shared" si="0"/>
        <v>4.9600000000000755E-3</v>
      </c>
      <c r="F44" s="2">
        <f t="shared" si="5"/>
        <v>2.4126000000000009E-2</v>
      </c>
      <c r="G44" s="2">
        <f t="shared" si="3"/>
        <v>1.7999830145397421E-2</v>
      </c>
      <c r="H44" s="2">
        <f t="shared" si="2"/>
        <v>1.3403459813296659</v>
      </c>
    </row>
    <row r="45" spans="1:8">
      <c r="A45" t="s">
        <v>10</v>
      </c>
      <c r="B45">
        <v>4</v>
      </c>
      <c r="C45" s="2">
        <v>0.59992999999999996</v>
      </c>
      <c r="D45" s="2">
        <v>0.65466999999999997</v>
      </c>
      <c r="E45" s="2">
        <f t="shared" si="0"/>
        <v>5.4740000000000011E-2</v>
      </c>
      <c r="F45" s="2">
        <f t="shared" si="5"/>
        <v>2.4126000000000009E-2</v>
      </c>
      <c r="G45" s="2">
        <f t="shared" si="3"/>
        <v>1.7999830145397421E-2</v>
      </c>
      <c r="H45" s="2">
        <f t="shared" si="2"/>
        <v>1.3403459813296659</v>
      </c>
    </row>
    <row r="46" spans="1:8">
      <c r="A46" t="s">
        <v>10</v>
      </c>
      <c r="B46">
        <v>5</v>
      </c>
      <c r="C46" s="2">
        <v>0.60982000000000003</v>
      </c>
      <c r="D46" s="2">
        <v>0.62807000000000002</v>
      </c>
      <c r="E46" s="2">
        <f t="shared" si="0"/>
        <v>1.8249999999999988E-2</v>
      </c>
      <c r="F46" s="2">
        <f t="shared" si="5"/>
        <v>2.4126000000000009E-2</v>
      </c>
      <c r="G46" s="2">
        <f t="shared" si="3"/>
        <v>1.7999830145397421E-2</v>
      </c>
      <c r="H46" s="2">
        <f t="shared" si="2"/>
        <v>1.3403459813296659</v>
      </c>
    </row>
    <row r="47" spans="1:8">
      <c r="A47" t="s">
        <v>10</v>
      </c>
      <c r="B47">
        <v>6</v>
      </c>
      <c r="C47" s="2">
        <v>0.60131000000000001</v>
      </c>
      <c r="D47" s="2">
        <v>0.64666999999999997</v>
      </c>
      <c r="E47" s="2">
        <f t="shared" si="0"/>
        <v>4.5359999999999956E-2</v>
      </c>
      <c r="F47" s="2">
        <f t="shared" si="5"/>
        <v>2.4126000000000009E-2</v>
      </c>
      <c r="G47" s="2">
        <f t="shared" si="3"/>
        <v>1.7999830145397421E-2</v>
      </c>
      <c r="H47" s="2">
        <f t="shared" si="2"/>
        <v>1.3403459813296659</v>
      </c>
    </row>
    <row r="48" spans="1:8">
      <c r="A48" t="s">
        <v>10</v>
      </c>
      <c r="B48">
        <v>7</v>
      </c>
      <c r="C48" s="2">
        <v>0.61682000000000003</v>
      </c>
      <c r="D48" s="2">
        <v>0.61238999999999999</v>
      </c>
      <c r="E48" s="2">
        <f t="shared" si="0"/>
        <v>-4.430000000000045E-3</v>
      </c>
      <c r="F48" s="2">
        <f t="shared" si="5"/>
        <v>2.4126000000000009E-2</v>
      </c>
      <c r="G48" s="2">
        <f t="shared" si="3"/>
        <v>1.7999830145397421E-2</v>
      </c>
      <c r="H48" s="2">
        <f t="shared" si="2"/>
        <v>1.3403459813296659</v>
      </c>
    </row>
    <row r="49" spans="1:8">
      <c r="A49" t="s">
        <v>10</v>
      </c>
      <c r="B49">
        <v>8</v>
      </c>
      <c r="C49" s="2">
        <v>0.58279999999999998</v>
      </c>
      <c r="D49" s="2">
        <v>0.61094999999999999</v>
      </c>
      <c r="E49" s="2">
        <f t="shared" si="0"/>
        <v>2.8150000000000008E-2</v>
      </c>
      <c r="F49" s="2">
        <f t="shared" si="5"/>
        <v>2.4126000000000009E-2</v>
      </c>
      <c r="G49" s="2">
        <f t="shared" si="3"/>
        <v>1.7999830145397421E-2</v>
      </c>
      <c r="H49" s="2">
        <f t="shared" si="2"/>
        <v>1.3403459813296659</v>
      </c>
    </row>
    <row r="50" spans="1:8">
      <c r="A50" t="s">
        <v>10</v>
      </c>
      <c r="B50">
        <v>9</v>
      </c>
      <c r="C50" s="2">
        <v>0.58679999999999999</v>
      </c>
      <c r="D50" s="2">
        <v>0.65014000000000005</v>
      </c>
      <c r="E50" s="2">
        <f t="shared" si="0"/>
        <v>6.3340000000000063E-2</v>
      </c>
      <c r="F50" s="2">
        <f t="shared" si="5"/>
        <v>2.4126000000000009E-2</v>
      </c>
      <c r="G50" s="2">
        <f t="shared" si="3"/>
        <v>1.7999830145397421E-2</v>
      </c>
      <c r="H50" s="2">
        <f t="shared" si="2"/>
        <v>1.3403459813296659</v>
      </c>
    </row>
    <row r="51" spans="1:8">
      <c r="A51" t="s">
        <v>10</v>
      </c>
      <c r="B51">
        <v>10</v>
      </c>
      <c r="C51" s="2">
        <v>0.59167999999999998</v>
      </c>
      <c r="D51" s="2">
        <v>0.60262000000000004</v>
      </c>
      <c r="E51" s="2">
        <f t="shared" si="0"/>
        <v>1.0940000000000061E-2</v>
      </c>
      <c r="F51" s="2">
        <f t="shared" si="5"/>
        <v>2.4126000000000009E-2</v>
      </c>
      <c r="G51" s="2">
        <f t="shared" si="3"/>
        <v>1.7999830145397421E-2</v>
      </c>
      <c r="H51" s="2">
        <f t="shared" si="2"/>
        <v>1.3403459813296659</v>
      </c>
    </row>
    <row r="52" spans="1:8">
      <c r="A52" t="s">
        <v>10</v>
      </c>
      <c r="B52">
        <v>11</v>
      </c>
      <c r="C52" s="2">
        <v>0.59792999999999996</v>
      </c>
      <c r="D52" s="2">
        <v>0.63756000000000002</v>
      </c>
      <c r="E52" s="2">
        <f t="shared" si="0"/>
        <v>3.9630000000000054E-2</v>
      </c>
      <c r="F52" s="2">
        <f t="shared" si="5"/>
        <v>2.4126000000000009E-2</v>
      </c>
      <c r="G52" s="2">
        <f t="shared" si="3"/>
        <v>1.7999830145397421E-2</v>
      </c>
      <c r="H52" s="2">
        <f t="shared" si="2"/>
        <v>1.3403459813296659</v>
      </c>
    </row>
    <row r="53" spans="1:8">
      <c r="A53" t="s">
        <v>10</v>
      </c>
      <c r="B53">
        <v>12</v>
      </c>
      <c r="C53" s="2">
        <v>0.61068999999999996</v>
      </c>
      <c r="D53" s="2">
        <v>0.60026999999999997</v>
      </c>
      <c r="E53" s="2">
        <f t="shared" si="0"/>
        <v>-1.0419999999999985E-2</v>
      </c>
      <c r="F53" s="2">
        <f t="shared" si="5"/>
        <v>2.4126000000000009E-2</v>
      </c>
      <c r="G53" s="2">
        <f t="shared" si="3"/>
        <v>1.7999830145397421E-2</v>
      </c>
      <c r="H53" s="2">
        <f t="shared" si="2"/>
        <v>1.3403459813296659</v>
      </c>
    </row>
    <row r="54" spans="1:8">
      <c r="A54" t="s">
        <v>10</v>
      </c>
      <c r="B54">
        <v>13</v>
      </c>
      <c r="C54" s="2">
        <v>0.60543999999999998</v>
      </c>
      <c r="D54" s="2">
        <v>0.65417999999999998</v>
      </c>
      <c r="E54" s="2">
        <f t="shared" si="0"/>
        <v>4.8740000000000006E-2</v>
      </c>
      <c r="F54" s="2">
        <f t="shared" si="5"/>
        <v>2.4126000000000009E-2</v>
      </c>
      <c r="G54" s="2">
        <f t="shared" si="3"/>
        <v>1.7999830145397421E-2</v>
      </c>
      <c r="H54" s="2">
        <f t="shared" si="2"/>
        <v>1.3403459813296659</v>
      </c>
    </row>
    <row r="55" spans="1:8">
      <c r="A55" t="s">
        <v>10</v>
      </c>
      <c r="B55">
        <v>14</v>
      </c>
      <c r="C55" s="2">
        <v>0.57540999999999998</v>
      </c>
      <c r="D55" s="2">
        <v>0.59809000000000001</v>
      </c>
      <c r="E55" s="2">
        <f t="shared" si="0"/>
        <v>2.2680000000000033E-2</v>
      </c>
      <c r="F55" s="2">
        <f t="shared" si="5"/>
        <v>2.4126000000000009E-2</v>
      </c>
      <c r="G55" s="2">
        <f t="shared" si="3"/>
        <v>1.7999830145397421E-2</v>
      </c>
      <c r="H55" s="2">
        <f t="shared" si="2"/>
        <v>1.3403459813296659</v>
      </c>
    </row>
    <row r="56" spans="1:8">
      <c r="A56" t="s">
        <v>10</v>
      </c>
      <c r="B56">
        <v>15</v>
      </c>
      <c r="C56" s="2">
        <v>0.59318000000000004</v>
      </c>
      <c r="D56" s="2">
        <v>0.65025999999999995</v>
      </c>
      <c r="E56" s="2">
        <f t="shared" si="0"/>
        <v>5.7079999999999909E-2</v>
      </c>
      <c r="F56" s="2">
        <f t="shared" si="5"/>
        <v>2.4126000000000009E-2</v>
      </c>
      <c r="G56" s="2">
        <f t="shared" si="3"/>
        <v>1.7999830145397421E-2</v>
      </c>
      <c r="H56" s="2">
        <f t="shared" si="2"/>
        <v>1.3403459813296659</v>
      </c>
    </row>
    <row r="57" spans="1:8">
      <c r="A57" t="s">
        <v>10</v>
      </c>
      <c r="B57">
        <v>16</v>
      </c>
      <c r="C57" s="2">
        <v>0.58142000000000005</v>
      </c>
      <c r="D57" s="2">
        <v>0.58220000000000005</v>
      </c>
      <c r="E57" s="2">
        <f t="shared" si="0"/>
        <v>7.8000000000000291E-4</v>
      </c>
      <c r="F57" s="2">
        <f t="shared" si="5"/>
        <v>2.4126000000000009E-2</v>
      </c>
      <c r="G57" s="2">
        <f t="shared" si="3"/>
        <v>1.7999830145397421E-2</v>
      </c>
      <c r="H57" s="2">
        <f t="shared" si="2"/>
        <v>1.3403459813296659</v>
      </c>
    </row>
    <row r="58" spans="1:8">
      <c r="A58" t="s">
        <v>10</v>
      </c>
      <c r="B58">
        <v>17</v>
      </c>
      <c r="C58" s="2">
        <v>0.60280999999999996</v>
      </c>
      <c r="D58" s="2">
        <v>0.63514000000000004</v>
      </c>
      <c r="E58" s="2">
        <f t="shared" si="0"/>
        <v>3.2330000000000081E-2</v>
      </c>
      <c r="F58" s="2">
        <f t="shared" si="5"/>
        <v>2.4126000000000009E-2</v>
      </c>
      <c r="G58" s="2">
        <f t="shared" si="3"/>
        <v>1.7999830145397421E-2</v>
      </c>
      <c r="H58" s="2">
        <f t="shared" si="2"/>
        <v>1.3403459813296659</v>
      </c>
    </row>
    <row r="59" spans="1:8">
      <c r="A59" t="s">
        <v>10</v>
      </c>
      <c r="B59">
        <v>18</v>
      </c>
      <c r="C59" s="2">
        <v>0.60619000000000001</v>
      </c>
      <c r="D59" s="2">
        <v>0.59160000000000001</v>
      </c>
      <c r="E59" s="2">
        <f t="shared" si="0"/>
        <v>-1.4589999999999992E-2</v>
      </c>
      <c r="F59" s="2">
        <f t="shared" si="5"/>
        <v>2.4126000000000009E-2</v>
      </c>
      <c r="G59" s="2">
        <f t="shared" si="3"/>
        <v>1.7999830145397421E-2</v>
      </c>
      <c r="H59" s="2">
        <f t="shared" si="2"/>
        <v>1.3403459813296659</v>
      </c>
    </row>
    <row r="60" spans="1:8">
      <c r="A60" t="s">
        <v>10</v>
      </c>
      <c r="B60">
        <v>19</v>
      </c>
      <c r="C60" s="2">
        <v>0.60982000000000003</v>
      </c>
      <c r="D60" s="2">
        <v>0.65229999999999999</v>
      </c>
      <c r="E60" s="2">
        <f t="shared" si="0"/>
        <v>4.2479999999999962E-2</v>
      </c>
      <c r="F60" s="2">
        <f t="shared" si="5"/>
        <v>2.4126000000000009E-2</v>
      </c>
      <c r="G60" s="2">
        <f t="shared" si="3"/>
        <v>1.7999830145397421E-2</v>
      </c>
      <c r="H60" s="2">
        <f t="shared" si="2"/>
        <v>1.3403459813296659</v>
      </c>
    </row>
    <row r="61" spans="1:8">
      <c r="A61" t="s">
        <v>10</v>
      </c>
      <c r="B61">
        <v>20</v>
      </c>
      <c r="C61" s="2">
        <v>0.59492999999999996</v>
      </c>
      <c r="D61" s="2">
        <v>0.621</v>
      </c>
      <c r="E61" s="2">
        <f t="shared" si="0"/>
        <v>2.6070000000000038E-2</v>
      </c>
      <c r="F61" s="2">
        <f t="shared" si="5"/>
        <v>2.4126000000000009E-2</v>
      </c>
      <c r="G61" s="2">
        <f t="shared" si="3"/>
        <v>1.7999830145397421E-2</v>
      </c>
      <c r="H61" s="2">
        <f t="shared" si="2"/>
        <v>1.3403459813296659</v>
      </c>
    </row>
    <row r="62" spans="1:8">
      <c r="A62" t="s">
        <v>11</v>
      </c>
      <c r="B62">
        <v>1</v>
      </c>
      <c r="C62" s="2">
        <v>0.60568</v>
      </c>
      <c r="D62" s="2">
        <v>0.58767999999999998</v>
      </c>
      <c r="E62" s="2">
        <f t="shared" si="0"/>
        <v>-1.8000000000000016E-2</v>
      </c>
      <c r="F62" s="2">
        <f t="shared" ref="F62:F81" si="6">AVERAGE($E$62:$E$81)</f>
        <v>3.0894499999999998E-2</v>
      </c>
      <c r="G62" s="2">
        <f t="shared" si="3"/>
        <v>1.7999830145397421E-2</v>
      </c>
      <c r="H62" s="2">
        <f t="shared" si="2"/>
        <v>1.7163773074769686</v>
      </c>
    </row>
    <row r="63" spans="1:8">
      <c r="A63" t="s">
        <v>11</v>
      </c>
      <c r="B63">
        <v>2</v>
      </c>
      <c r="C63" s="2">
        <v>0.61792999999999998</v>
      </c>
      <c r="D63" s="2">
        <v>0.66144000000000003</v>
      </c>
      <c r="E63" s="2">
        <f t="shared" si="0"/>
        <v>4.3510000000000049E-2</v>
      </c>
      <c r="F63" s="2">
        <f t="shared" si="6"/>
        <v>3.0894499999999998E-2</v>
      </c>
      <c r="G63" s="2">
        <f t="shared" si="3"/>
        <v>1.7999830145397421E-2</v>
      </c>
      <c r="H63" s="2">
        <f t="shared" si="2"/>
        <v>1.7163773074769686</v>
      </c>
    </row>
    <row r="64" spans="1:8">
      <c r="A64" t="s">
        <v>11</v>
      </c>
      <c r="B64">
        <v>3</v>
      </c>
      <c r="C64" s="2">
        <v>0.63068999999999997</v>
      </c>
      <c r="D64" s="2">
        <v>0.63973000000000002</v>
      </c>
      <c r="E64" s="2">
        <f t="shared" si="0"/>
        <v>9.040000000000048E-3</v>
      </c>
      <c r="F64" s="2">
        <f t="shared" si="6"/>
        <v>3.0894499999999998E-2</v>
      </c>
      <c r="G64" s="2">
        <f t="shared" si="3"/>
        <v>1.7999830145397421E-2</v>
      </c>
      <c r="H64" s="2">
        <f t="shared" si="2"/>
        <v>1.7163773074769686</v>
      </c>
    </row>
    <row r="65" spans="1:8">
      <c r="A65" t="s">
        <v>11</v>
      </c>
      <c r="B65">
        <v>4</v>
      </c>
      <c r="C65" s="2">
        <v>0.61943999999999999</v>
      </c>
      <c r="D65" s="2">
        <v>0.68523000000000001</v>
      </c>
      <c r="E65" s="2">
        <f t="shared" si="0"/>
        <v>6.5790000000000015E-2</v>
      </c>
      <c r="F65" s="2">
        <f t="shared" si="6"/>
        <v>3.0894499999999998E-2</v>
      </c>
      <c r="G65" s="2">
        <f t="shared" si="3"/>
        <v>1.7999830145397421E-2</v>
      </c>
      <c r="H65" s="2">
        <f t="shared" si="2"/>
        <v>1.7163773074769686</v>
      </c>
    </row>
    <row r="66" spans="1:8">
      <c r="A66" t="s">
        <v>11</v>
      </c>
      <c r="B66">
        <v>5</v>
      </c>
      <c r="C66" s="2">
        <v>0.59540999999999999</v>
      </c>
      <c r="D66" s="2">
        <v>0.61960999999999999</v>
      </c>
      <c r="E66" s="2">
        <f t="shared" ref="E66:E129" si="7">D66-C66</f>
        <v>2.4199999999999999E-2</v>
      </c>
      <c r="F66" s="2">
        <f t="shared" si="6"/>
        <v>3.0894499999999998E-2</v>
      </c>
      <c r="G66" s="2">
        <f t="shared" si="3"/>
        <v>1.7999830145397421E-2</v>
      </c>
      <c r="H66" s="2">
        <f t="shared" ref="H66:H129" si="8">F66/G66</f>
        <v>1.7163773074769686</v>
      </c>
    </row>
    <row r="67" spans="1:8">
      <c r="A67" t="s">
        <v>11</v>
      </c>
      <c r="B67">
        <v>6</v>
      </c>
      <c r="C67" s="2">
        <v>0.61317999999999995</v>
      </c>
      <c r="D67" s="2">
        <v>0.66827000000000003</v>
      </c>
      <c r="E67" s="2">
        <f t="shared" si="7"/>
        <v>5.5090000000000083E-2</v>
      </c>
      <c r="F67" s="2">
        <f t="shared" si="6"/>
        <v>3.0894499999999998E-2</v>
      </c>
      <c r="G67" s="2">
        <f t="shared" ref="G67:G130" si="9">_xlfn.STDEV.S($E$2:$E$21)</f>
        <v>1.7999830145397421E-2</v>
      </c>
      <c r="H67" s="2">
        <f t="shared" si="8"/>
        <v>1.7163773074769686</v>
      </c>
    </row>
    <row r="68" spans="1:8">
      <c r="A68" t="s">
        <v>11</v>
      </c>
      <c r="B68">
        <v>7</v>
      </c>
      <c r="C68" s="2">
        <v>0.59541999999999995</v>
      </c>
      <c r="D68" s="2">
        <v>0.59375999999999995</v>
      </c>
      <c r="E68" s="2">
        <f t="shared" si="7"/>
        <v>-1.6599999999999948E-3</v>
      </c>
      <c r="F68" s="2">
        <f t="shared" si="6"/>
        <v>3.0894499999999998E-2</v>
      </c>
      <c r="G68" s="2">
        <f t="shared" si="9"/>
        <v>1.7999830145397421E-2</v>
      </c>
      <c r="H68" s="2">
        <f t="shared" si="8"/>
        <v>1.7163773074769686</v>
      </c>
    </row>
    <row r="69" spans="1:8">
      <c r="A69" t="s">
        <v>11</v>
      </c>
      <c r="B69">
        <v>8</v>
      </c>
      <c r="C69" s="2">
        <v>0.62280999999999997</v>
      </c>
      <c r="D69" s="2">
        <v>0.6583</v>
      </c>
      <c r="E69" s="2">
        <f t="shared" si="7"/>
        <v>3.5490000000000022E-2</v>
      </c>
      <c r="F69" s="2">
        <f t="shared" si="6"/>
        <v>3.0894499999999998E-2</v>
      </c>
      <c r="G69" s="2">
        <f t="shared" si="9"/>
        <v>1.7999830145397421E-2</v>
      </c>
      <c r="H69" s="2">
        <f t="shared" si="8"/>
        <v>1.7163773074769686</v>
      </c>
    </row>
    <row r="70" spans="1:8">
      <c r="A70" t="s">
        <v>11</v>
      </c>
      <c r="B70">
        <v>9</v>
      </c>
      <c r="C70" s="2">
        <v>0.62619000000000002</v>
      </c>
      <c r="D70" s="2">
        <v>0.70179000000000002</v>
      </c>
      <c r="E70" s="2">
        <f t="shared" si="7"/>
        <v>7.5600000000000001E-2</v>
      </c>
      <c r="F70" s="2">
        <f t="shared" si="6"/>
        <v>3.0894499999999998E-2</v>
      </c>
      <c r="G70" s="2">
        <f t="shared" si="9"/>
        <v>1.7999830145397421E-2</v>
      </c>
      <c r="H70" s="2">
        <f t="shared" si="8"/>
        <v>1.7163773074769686</v>
      </c>
    </row>
    <row r="71" spans="1:8">
      <c r="A71" t="s">
        <v>11</v>
      </c>
      <c r="B71">
        <v>10</v>
      </c>
      <c r="C71" s="2">
        <v>0.62382000000000004</v>
      </c>
      <c r="D71" s="2">
        <v>0.63968999999999998</v>
      </c>
      <c r="E71" s="2">
        <f t="shared" si="7"/>
        <v>1.586999999999994E-2</v>
      </c>
      <c r="F71" s="2">
        <f t="shared" si="6"/>
        <v>3.0894499999999998E-2</v>
      </c>
      <c r="G71" s="2">
        <f t="shared" si="9"/>
        <v>1.7999830145397421E-2</v>
      </c>
      <c r="H71" s="2">
        <f t="shared" si="8"/>
        <v>1.7163773074769686</v>
      </c>
    </row>
    <row r="72" spans="1:8">
      <c r="A72" t="s">
        <v>11</v>
      </c>
      <c r="B72">
        <v>11</v>
      </c>
      <c r="C72" s="2">
        <v>0.61492999999999998</v>
      </c>
      <c r="D72" s="2">
        <v>0.66349000000000002</v>
      </c>
      <c r="E72" s="2">
        <f t="shared" si="7"/>
        <v>4.8560000000000048E-2</v>
      </c>
      <c r="F72" s="2">
        <f t="shared" si="6"/>
        <v>3.0894499999999998E-2</v>
      </c>
      <c r="G72" s="2">
        <f t="shared" si="9"/>
        <v>1.7999830145397421E-2</v>
      </c>
      <c r="H72" s="2">
        <f t="shared" si="8"/>
        <v>1.7163773074769686</v>
      </c>
    </row>
    <row r="73" spans="1:8">
      <c r="A73" t="s">
        <v>11</v>
      </c>
      <c r="B73">
        <v>12</v>
      </c>
      <c r="C73" s="2">
        <v>0.60228999999999999</v>
      </c>
      <c r="D73" s="2">
        <v>0.59379999999999999</v>
      </c>
      <c r="E73" s="2">
        <f t="shared" si="7"/>
        <v>-8.4899999999999975E-3</v>
      </c>
      <c r="F73" s="2">
        <f t="shared" si="6"/>
        <v>3.0894499999999998E-2</v>
      </c>
      <c r="G73" s="2">
        <f t="shared" si="9"/>
        <v>1.7999830145397421E-2</v>
      </c>
      <c r="H73" s="2">
        <f t="shared" si="8"/>
        <v>1.7163773074769686</v>
      </c>
    </row>
    <row r="74" spans="1:8">
      <c r="A74" t="s">
        <v>11</v>
      </c>
      <c r="B74">
        <v>13</v>
      </c>
      <c r="C74" s="2">
        <v>0.61131000000000002</v>
      </c>
      <c r="D74" s="2">
        <v>0.67025999999999997</v>
      </c>
      <c r="E74" s="2">
        <f t="shared" si="7"/>
        <v>5.8949999999999947E-2</v>
      </c>
      <c r="F74" s="2">
        <f t="shared" si="6"/>
        <v>3.0894499999999998E-2</v>
      </c>
      <c r="G74" s="2">
        <f t="shared" si="9"/>
        <v>1.7999830145397421E-2</v>
      </c>
      <c r="H74" s="2">
        <f t="shared" si="8"/>
        <v>1.7163773074769686</v>
      </c>
    </row>
    <row r="75" spans="1:8">
      <c r="A75" t="s">
        <v>11</v>
      </c>
      <c r="B75">
        <v>14</v>
      </c>
      <c r="C75" s="2">
        <v>0.59340999999999999</v>
      </c>
      <c r="D75" s="2">
        <v>0.62265999999999999</v>
      </c>
      <c r="E75" s="2">
        <f t="shared" si="7"/>
        <v>2.9249999999999998E-2</v>
      </c>
      <c r="F75" s="2">
        <f t="shared" si="6"/>
        <v>3.0894499999999998E-2</v>
      </c>
      <c r="G75" s="2">
        <f t="shared" si="9"/>
        <v>1.7999830145397421E-2</v>
      </c>
      <c r="H75" s="2">
        <f t="shared" si="8"/>
        <v>1.7163773074769686</v>
      </c>
    </row>
    <row r="76" spans="1:8">
      <c r="A76" t="s">
        <v>11</v>
      </c>
      <c r="B76">
        <v>15</v>
      </c>
      <c r="C76" s="2">
        <v>0.61792999999999998</v>
      </c>
      <c r="D76" s="2">
        <v>0.68640000000000001</v>
      </c>
      <c r="E76" s="2">
        <f t="shared" si="7"/>
        <v>6.8470000000000031E-2</v>
      </c>
      <c r="F76" s="2">
        <f t="shared" si="6"/>
        <v>3.0894499999999998E-2</v>
      </c>
      <c r="G76" s="2">
        <f t="shared" si="9"/>
        <v>1.7999830145397421E-2</v>
      </c>
      <c r="H76" s="2">
        <f t="shared" si="8"/>
        <v>1.7163773074769686</v>
      </c>
    </row>
    <row r="77" spans="1:8">
      <c r="A77" t="s">
        <v>11</v>
      </c>
      <c r="B77">
        <v>16</v>
      </c>
      <c r="C77" s="2">
        <v>0.62782000000000004</v>
      </c>
      <c r="D77" s="2">
        <v>0.63210999999999995</v>
      </c>
      <c r="E77" s="2">
        <f t="shared" si="7"/>
        <v>4.289999999999905E-3</v>
      </c>
      <c r="F77" s="2">
        <f t="shared" si="6"/>
        <v>3.0894499999999998E-2</v>
      </c>
      <c r="G77" s="2">
        <f t="shared" si="9"/>
        <v>1.7999830145397421E-2</v>
      </c>
      <c r="H77" s="2">
        <f t="shared" si="8"/>
        <v>1.7163773074769686</v>
      </c>
    </row>
    <row r="78" spans="1:8">
      <c r="A78" t="s">
        <v>11</v>
      </c>
      <c r="B78">
        <v>17</v>
      </c>
      <c r="C78" s="2">
        <v>0.61931000000000003</v>
      </c>
      <c r="D78" s="2">
        <v>0.65954999999999997</v>
      </c>
      <c r="E78" s="2">
        <f t="shared" si="7"/>
        <v>4.0239999999999942E-2</v>
      </c>
      <c r="F78" s="2">
        <f t="shared" si="6"/>
        <v>3.0894499999999998E-2</v>
      </c>
      <c r="G78" s="2">
        <f t="shared" si="9"/>
        <v>1.7999830145397421E-2</v>
      </c>
      <c r="H78" s="2">
        <f t="shared" si="8"/>
        <v>1.7163773074769686</v>
      </c>
    </row>
    <row r="79" spans="1:8">
      <c r="A79" t="s">
        <v>11</v>
      </c>
      <c r="B79">
        <v>18</v>
      </c>
      <c r="C79" s="2">
        <v>0.63482000000000005</v>
      </c>
      <c r="D79" s="2">
        <v>0.62158000000000002</v>
      </c>
      <c r="E79" s="2">
        <f t="shared" si="7"/>
        <v>-1.324000000000003E-2</v>
      </c>
      <c r="F79" s="2">
        <f t="shared" si="6"/>
        <v>3.0894499999999998E-2</v>
      </c>
      <c r="G79" s="2">
        <f t="shared" si="9"/>
        <v>1.7999830145397421E-2</v>
      </c>
      <c r="H79" s="2">
        <f t="shared" si="8"/>
        <v>1.7163773074769686</v>
      </c>
    </row>
    <row r="80" spans="1:8">
      <c r="A80" t="s">
        <v>11</v>
      </c>
      <c r="B80">
        <v>19</v>
      </c>
      <c r="C80" s="2">
        <v>0.6008</v>
      </c>
      <c r="D80" s="2">
        <v>0.65261999999999998</v>
      </c>
      <c r="E80" s="2">
        <f t="shared" si="7"/>
        <v>5.1819999999999977E-2</v>
      </c>
      <c r="F80" s="2">
        <f t="shared" si="6"/>
        <v>3.0894499999999998E-2</v>
      </c>
      <c r="G80" s="2">
        <f t="shared" si="9"/>
        <v>1.7999830145397421E-2</v>
      </c>
      <c r="H80" s="2">
        <f t="shared" si="8"/>
        <v>1.7163773074769686</v>
      </c>
    </row>
    <row r="81" spans="1:8">
      <c r="A81" t="s">
        <v>11</v>
      </c>
      <c r="B81">
        <v>20</v>
      </c>
      <c r="C81" s="2">
        <v>0.6048</v>
      </c>
      <c r="D81" s="2">
        <v>0.63790999999999998</v>
      </c>
      <c r="E81" s="2">
        <f t="shared" si="7"/>
        <v>3.3109999999999973E-2</v>
      </c>
      <c r="F81" s="2">
        <f t="shared" si="6"/>
        <v>3.0894499999999998E-2</v>
      </c>
      <c r="G81" s="2">
        <f t="shared" si="9"/>
        <v>1.7999830145397421E-2</v>
      </c>
      <c r="H81" s="2">
        <f t="shared" si="8"/>
        <v>1.7163773074769686</v>
      </c>
    </row>
    <row r="82" spans="1:8">
      <c r="A82" t="s">
        <v>12</v>
      </c>
      <c r="B82">
        <v>1</v>
      </c>
      <c r="C82" s="2">
        <v>0.64381999999999995</v>
      </c>
      <c r="D82" s="2">
        <v>0.61333000000000004</v>
      </c>
      <c r="E82" s="2">
        <f t="shared" si="7"/>
        <v>-3.0489999999999906E-2</v>
      </c>
      <c r="F82" s="2">
        <f t="shared" ref="F82:F101" si="10">AVERAGE($E$82:$E$101)</f>
        <v>2.4416000000000004E-2</v>
      </c>
      <c r="G82" s="2">
        <f t="shared" si="9"/>
        <v>1.7999830145397421E-2</v>
      </c>
      <c r="H82" s="2">
        <f t="shared" si="8"/>
        <v>1.3564572444725655</v>
      </c>
    </row>
    <row r="83" spans="1:8">
      <c r="A83" t="s">
        <v>12</v>
      </c>
      <c r="B83">
        <v>2</v>
      </c>
      <c r="C83" s="2">
        <v>0.63492999999999999</v>
      </c>
      <c r="D83" s="2">
        <v>0.67351000000000005</v>
      </c>
      <c r="E83" s="2">
        <f t="shared" si="7"/>
        <v>3.8580000000000059E-2</v>
      </c>
      <c r="F83" s="2">
        <f t="shared" si="10"/>
        <v>2.4416000000000004E-2</v>
      </c>
      <c r="G83" s="2">
        <f t="shared" si="9"/>
        <v>1.7999830145397421E-2</v>
      </c>
      <c r="H83" s="2">
        <f t="shared" si="8"/>
        <v>1.3564572444725655</v>
      </c>
    </row>
    <row r="84" spans="1:8">
      <c r="A84" t="s">
        <v>12</v>
      </c>
      <c r="B84">
        <v>3</v>
      </c>
      <c r="C84" s="2">
        <v>0.61629</v>
      </c>
      <c r="D84" s="2">
        <v>0.61617</v>
      </c>
      <c r="E84" s="2">
        <f t="shared" si="7"/>
        <v>-1.2000000000000899E-4</v>
      </c>
      <c r="F84" s="2">
        <f t="shared" si="10"/>
        <v>2.4416000000000004E-2</v>
      </c>
      <c r="G84" s="2">
        <f t="shared" si="9"/>
        <v>1.7999830145397421E-2</v>
      </c>
      <c r="H84" s="2">
        <f t="shared" si="8"/>
        <v>1.3564572444725655</v>
      </c>
    </row>
    <row r="85" spans="1:8">
      <c r="A85" t="s">
        <v>12</v>
      </c>
      <c r="B85">
        <v>4</v>
      </c>
      <c r="C85" s="2">
        <v>0.63131000000000004</v>
      </c>
      <c r="D85" s="2">
        <v>0.69491000000000003</v>
      </c>
      <c r="E85" s="2">
        <f t="shared" si="7"/>
        <v>6.359999999999999E-2</v>
      </c>
      <c r="F85" s="2">
        <f t="shared" si="10"/>
        <v>2.4416000000000004E-2</v>
      </c>
      <c r="G85" s="2">
        <f t="shared" si="9"/>
        <v>1.7999830145397421E-2</v>
      </c>
      <c r="H85" s="2">
        <f t="shared" si="8"/>
        <v>1.3564572444725655</v>
      </c>
    </row>
    <row r="86" spans="1:8">
      <c r="A86" t="s">
        <v>12</v>
      </c>
      <c r="B86">
        <v>5</v>
      </c>
      <c r="C86" s="2">
        <v>0.61341000000000001</v>
      </c>
      <c r="D86" s="2">
        <v>0.63031000000000004</v>
      </c>
      <c r="E86" s="2">
        <f t="shared" si="7"/>
        <v>1.6900000000000026E-2</v>
      </c>
      <c r="F86" s="2">
        <f t="shared" si="10"/>
        <v>2.4416000000000004E-2</v>
      </c>
      <c r="G86" s="2">
        <f t="shared" si="9"/>
        <v>1.7999830145397421E-2</v>
      </c>
      <c r="H86" s="2">
        <f t="shared" si="8"/>
        <v>1.3564572444725655</v>
      </c>
    </row>
    <row r="87" spans="1:8">
      <c r="A87" t="s">
        <v>12</v>
      </c>
      <c r="B87">
        <v>6</v>
      </c>
      <c r="C87" s="2">
        <v>0.63192999999999999</v>
      </c>
      <c r="D87" s="2">
        <v>0.68352000000000002</v>
      </c>
      <c r="E87" s="2">
        <f t="shared" si="7"/>
        <v>5.1590000000000025E-2</v>
      </c>
      <c r="F87" s="2">
        <f t="shared" si="10"/>
        <v>2.4416000000000004E-2</v>
      </c>
      <c r="G87" s="2">
        <f t="shared" si="9"/>
        <v>1.7999830145397421E-2</v>
      </c>
      <c r="H87" s="2">
        <f t="shared" si="8"/>
        <v>1.3564572444725655</v>
      </c>
    </row>
    <row r="88" spans="1:8">
      <c r="A88" t="s">
        <v>12</v>
      </c>
      <c r="B88">
        <v>7</v>
      </c>
      <c r="C88" s="2">
        <v>0.64781999999999995</v>
      </c>
      <c r="D88" s="2">
        <v>0.63568999999999998</v>
      </c>
      <c r="E88" s="2">
        <f t="shared" si="7"/>
        <v>-1.2129999999999974E-2</v>
      </c>
      <c r="F88" s="2">
        <f t="shared" si="10"/>
        <v>2.4416000000000004E-2</v>
      </c>
      <c r="G88" s="2">
        <f t="shared" si="9"/>
        <v>1.7999830145397421E-2</v>
      </c>
      <c r="H88" s="2">
        <f t="shared" si="8"/>
        <v>1.3564572444725655</v>
      </c>
    </row>
    <row r="89" spans="1:8">
      <c r="A89" t="s">
        <v>12</v>
      </c>
      <c r="B89">
        <v>8</v>
      </c>
      <c r="C89" s="2">
        <v>0.63931000000000004</v>
      </c>
      <c r="D89" s="2">
        <v>0.66888000000000003</v>
      </c>
      <c r="E89" s="2">
        <f t="shared" si="7"/>
        <v>2.9569999999999985E-2</v>
      </c>
      <c r="F89" s="2">
        <f t="shared" si="10"/>
        <v>2.4416000000000004E-2</v>
      </c>
      <c r="G89" s="2">
        <f t="shared" si="9"/>
        <v>1.7999830145397421E-2</v>
      </c>
      <c r="H89" s="2">
        <f t="shared" si="8"/>
        <v>1.3564572444725655</v>
      </c>
    </row>
    <row r="90" spans="1:8">
      <c r="A90" t="s">
        <v>12</v>
      </c>
      <c r="B90">
        <v>9</v>
      </c>
      <c r="C90" s="2">
        <v>0.64881999999999995</v>
      </c>
      <c r="D90" s="2">
        <v>0.72343000000000002</v>
      </c>
      <c r="E90" s="2">
        <f t="shared" si="7"/>
        <v>7.4610000000000065E-2</v>
      </c>
      <c r="F90" s="2">
        <f t="shared" si="10"/>
        <v>2.4416000000000004E-2</v>
      </c>
      <c r="G90" s="2">
        <f t="shared" si="9"/>
        <v>1.7999830145397421E-2</v>
      </c>
      <c r="H90" s="2">
        <f t="shared" si="8"/>
        <v>1.3564572444725655</v>
      </c>
    </row>
    <row r="91" spans="1:8">
      <c r="A91" t="s">
        <v>12</v>
      </c>
      <c r="B91">
        <v>10</v>
      </c>
      <c r="C91" s="2">
        <v>0.62080000000000002</v>
      </c>
      <c r="D91" s="2">
        <v>0.62834999999999996</v>
      </c>
      <c r="E91" s="2">
        <f t="shared" si="7"/>
        <v>7.5499999999999456E-3</v>
      </c>
      <c r="F91" s="2">
        <f t="shared" si="10"/>
        <v>2.4416000000000004E-2</v>
      </c>
      <c r="G91" s="2">
        <f t="shared" si="9"/>
        <v>1.7999830145397421E-2</v>
      </c>
      <c r="H91" s="2">
        <f t="shared" si="8"/>
        <v>1.3564572444725655</v>
      </c>
    </row>
    <row r="92" spans="1:8">
      <c r="A92" t="s">
        <v>12</v>
      </c>
      <c r="B92">
        <v>11</v>
      </c>
      <c r="C92" s="2">
        <v>0.62480000000000002</v>
      </c>
      <c r="D92" s="2">
        <v>0.66905000000000003</v>
      </c>
      <c r="E92" s="2">
        <f t="shared" si="7"/>
        <v>4.4250000000000012E-2</v>
      </c>
      <c r="F92" s="2">
        <f t="shared" si="10"/>
        <v>2.4416000000000004E-2</v>
      </c>
      <c r="G92" s="2">
        <f t="shared" si="9"/>
        <v>1.7999830145397421E-2</v>
      </c>
      <c r="H92" s="2">
        <f t="shared" si="8"/>
        <v>1.3564572444725655</v>
      </c>
    </row>
    <row r="93" spans="1:8">
      <c r="A93" t="s">
        <v>12</v>
      </c>
      <c r="B93">
        <v>12</v>
      </c>
      <c r="C93" s="2">
        <v>0.62368000000000001</v>
      </c>
      <c r="D93" s="2">
        <v>0.60387000000000002</v>
      </c>
      <c r="E93" s="2">
        <f t="shared" si="7"/>
        <v>-1.9809999999999994E-2</v>
      </c>
      <c r="F93" s="2">
        <f t="shared" si="10"/>
        <v>2.4416000000000004E-2</v>
      </c>
      <c r="G93" s="2">
        <f t="shared" si="9"/>
        <v>1.7999830145397421E-2</v>
      </c>
      <c r="H93" s="2">
        <f t="shared" si="8"/>
        <v>1.3564572444725655</v>
      </c>
    </row>
    <row r="94" spans="1:8">
      <c r="A94" t="s">
        <v>12</v>
      </c>
      <c r="B94">
        <v>13</v>
      </c>
      <c r="C94" s="2">
        <v>0.63593</v>
      </c>
      <c r="D94" s="2">
        <v>0.69186000000000003</v>
      </c>
      <c r="E94" s="2">
        <f t="shared" si="7"/>
        <v>5.5930000000000035E-2</v>
      </c>
      <c r="F94" s="2">
        <f t="shared" si="10"/>
        <v>2.4416000000000004E-2</v>
      </c>
      <c r="G94" s="2">
        <f t="shared" si="9"/>
        <v>1.7999830145397421E-2</v>
      </c>
      <c r="H94" s="2">
        <f t="shared" si="8"/>
        <v>1.3564572444725655</v>
      </c>
    </row>
    <row r="95" spans="1:8">
      <c r="A95" t="s">
        <v>12</v>
      </c>
      <c r="B95">
        <v>14</v>
      </c>
      <c r="C95" s="2">
        <v>0.64868999999999999</v>
      </c>
      <c r="D95" s="2">
        <v>0.67125999999999997</v>
      </c>
      <c r="E95" s="2">
        <f t="shared" si="7"/>
        <v>2.2569999999999979E-2</v>
      </c>
      <c r="F95" s="2">
        <f t="shared" si="10"/>
        <v>2.4416000000000004E-2</v>
      </c>
      <c r="G95" s="2">
        <f t="shared" si="9"/>
        <v>1.7999830145397421E-2</v>
      </c>
      <c r="H95" s="2">
        <f t="shared" si="8"/>
        <v>1.3564572444725655</v>
      </c>
    </row>
    <row r="96" spans="1:8">
      <c r="A96" t="s">
        <v>12</v>
      </c>
      <c r="B96">
        <v>15</v>
      </c>
      <c r="C96" s="2">
        <v>0.63744000000000001</v>
      </c>
      <c r="D96" s="2">
        <v>0.70404</v>
      </c>
      <c r="E96" s="2">
        <f t="shared" si="7"/>
        <v>6.6599999999999993E-2</v>
      </c>
      <c r="F96" s="2">
        <f t="shared" si="10"/>
        <v>2.4416000000000004E-2</v>
      </c>
      <c r="G96" s="2">
        <f t="shared" si="9"/>
        <v>1.7999830145397421E-2</v>
      </c>
      <c r="H96" s="2">
        <f t="shared" si="8"/>
        <v>1.3564572444725655</v>
      </c>
    </row>
    <row r="97" spans="1:8">
      <c r="A97" t="s">
        <v>12</v>
      </c>
      <c r="B97">
        <v>16</v>
      </c>
      <c r="C97" s="2">
        <v>0.61341000000000001</v>
      </c>
      <c r="D97" s="2">
        <v>0.60794999999999999</v>
      </c>
      <c r="E97" s="2">
        <f t="shared" si="7"/>
        <v>-5.4600000000000204E-3</v>
      </c>
      <c r="F97" s="2">
        <f t="shared" si="10"/>
        <v>2.4416000000000004E-2</v>
      </c>
      <c r="G97" s="2">
        <f t="shared" si="9"/>
        <v>1.7999830145397421E-2</v>
      </c>
      <c r="H97" s="2">
        <f t="shared" si="8"/>
        <v>1.3564572444725655</v>
      </c>
    </row>
    <row r="98" spans="1:8">
      <c r="A98" t="s">
        <v>12</v>
      </c>
      <c r="B98">
        <v>17</v>
      </c>
      <c r="C98" s="2">
        <v>0.63117999999999996</v>
      </c>
      <c r="D98" s="2">
        <v>0.66608999999999996</v>
      </c>
      <c r="E98" s="2">
        <f t="shared" si="7"/>
        <v>3.4909999999999997E-2</v>
      </c>
      <c r="F98" s="2">
        <f t="shared" si="10"/>
        <v>2.4416000000000004E-2</v>
      </c>
      <c r="G98" s="2">
        <f t="shared" si="9"/>
        <v>1.7999830145397421E-2</v>
      </c>
      <c r="H98" s="2">
        <f t="shared" si="8"/>
        <v>1.3564572444725655</v>
      </c>
    </row>
    <row r="99" spans="1:8">
      <c r="A99" t="s">
        <v>12</v>
      </c>
      <c r="B99">
        <v>18</v>
      </c>
      <c r="C99" s="2">
        <v>0.61341999999999997</v>
      </c>
      <c r="D99" s="2">
        <v>0.58826999999999996</v>
      </c>
      <c r="E99" s="2">
        <f t="shared" si="7"/>
        <v>-2.5150000000000006E-2</v>
      </c>
      <c r="F99" s="2">
        <f t="shared" si="10"/>
        <v>2.4416000000000004E-2</v>
      </c>
      <c r="G99" s="2">
        <f t="shared" si="9"/>
        <v>1.7999830145397421E-2</v>
      </c>
      <c r="H99" s="2">
        <f t="shared" si="8"/>
        <v>1.3564572444725655</v>
      </c>
    </row>
    <row r="100" spans="1:8">
      <c r="A100" t="s">
        <v>12</v>
      </c>
      <c r="B100">
        <v>19</v>
      </c>
      <c r="C100" s="2">
        <v>0.64080999999999999</v>
      </c>
      <c r="D100" s="2">
        <v>0.68872999999999995</v>
      </c>
      <c r="E100" s="2">
        <f t="shared" si="7"/>
        <v>4.7919999999999963E-2</v>
      </c>
      <c r="F100" s="2">
        <f t="shared" si="10"/>
        <v>2.4416000000000004E-2</v>
      </c>
      <c r="G100" s="2">
        <f t="shared" si="9"/>
        <v>1.7999830145397421E-2</v>
      </c>
      <c r="H100" s="2">
        <f t="shared" si="8"/>
        <v>1.3564572444725655</v>
      </c>
    </row>
    <row r="101" spans="1:8">
      <c r="A101" t="s">
        <v>12</v>
      </c>
      <c r="B101">
        <v>20</v>
      </c>
      <c r="C101" s="2">
        <v>0.64419000000000004</v>
      </c>
      <c r="D101" s="2">
        <v>0.67108999999999996</v>
      </c>
      <c r="E101" s="2">
        <f t="shared" si="7"/>
        <v>2.6899999999999924E-2</v>
      </c>
      <c r="F101" s="2">
        <f t="shared" si="10"/>
        <v>2.4416000000000004E-2</v>
      </c>
      <c r="G101" s="2">
        <f t="shared" si="9"/>
        <v>1.7999830145397421E-2</v>
      </c>
      <c r="H101" s="2">
        <f t="shared" si="8"/>
        <v>1.3564572444725655</v>
      </c>
    </row>
    <row r="102" spans="1:8">
      <c r="A102" t="s">
        <v>13</v>
      </c>
      <c r="B102">
        <v>1</v>
      </c>
      <c r="C102" s="2">
        <v>0.64080000000000004</v>
      </c>
      <c r="D102" s="2">
        <v>0.60563</v>
      </c>
      <c r="E102" s="2">
        <f t="shared" si="7"/>
        <v>-3.5170000000000035E-2</v>
      </c>
      <c r="F102" s="2">
        <f t="shared" ref="F102:F121" si="11">AVERAGE($E$102:$E$121)</f>
        <v>2.573799999999999E-2</v>
      </c>
      <c r="G102" s="2">
        <f t="shared" si="9"/>
        <v>1.7999830145397421E-2</v>
      </c>
      <c r="H102" s="2">
        <f t="shared" si="8"/>
        <v>1.4299023819722669</v>
      </c>
    </row>
    <row r="103" spans="1:8">
      <c r="A103" t="s">
        <v>13</v>
      </c>
      <c r="B103">
        <v>2</v>
      </c>
      <c r="C103" s="2">
        <v>0.63880000000000003</v>
      </c>
      <c r="D103" s="2">
        <v>0.68025000000000002</v>
      </c>
      <c r="E103" s="2">
        <f t="shared" si="7"/>
        <v>4.1449999999999987E-2</v>
      </c>
      <c r="F103" s="2">
        <f t="shared" si="11"/>
        <v>2.573799999999999E-2</v>
      </c>
      <c r="G103" s="2">
        <f t="shared" si="9"/>
        <v>1.7999830145397421E-2</v>
      </c>
      <c r="H103" s="2">
        <f t="shared" si="8"/>
        <v>1.4299023819722669</v>
      </c>
    </row>
    <row r="104" spans="1:8">
      <c r="A104" t="s">
        <v>13</v>
      </c>
      <c r="B104">
        <v>3</v>
      </c>
      <c r="C104" s="2">
        <v>0.64368000000000003</v>
      </c>
      <c r="D104" s="2">
        <v>0.64219000000000004</v>
      </c>
      <c r="E104" s="2">
        <f t="shared" si="7"/>
        <v>-1.4899999999999913E-3</v>
      </c>
      <c r="F104" s="2">
        <f t="shared" si="11"/>
        <v>2.573799999999999E-2</v>
      </c>
      <c r="G104" s="2">
        <f t="shared" si="9"/>
        <v>1.7999830145397421E-2</v>
      </c>
      <c r="H104" s="2">
        <f t="shared" si="8"/>
        <v>1.4299023819722669</v>
      </c>
    </row>
    <row r="105" spans="1:8">
      <c r="A105" t="s">
        <v>13</v>
      </c>
      <c r="B105">
        <v>4</v>
      </c>
      <c r="C105" s="2">
        <v>0.65593000000000001</v>
      </c>
      <c r="D105" s="2">
        <v>0.72514000000000001</v>
      </c>
      <c r="E105" s="2">
        <f t="shared" si="7"/>
        <v>6.9209999999999994E-2</v>
      </c>
      <c r="F105" s="2">
        <f t="shared" si="11"/>
        <v>2.573799999999999E-2</v>
      </c>
      <c r="G105" s="2">
        <f t="shared" si="9"/>
        <v>1.7999830145397421E-2</v>
      </c>
      <c r="H105" s="2">
        <f t="shared" si="8"/>
        <v>1.4299023819722669</v>
      </c>
    </row>
    <row r="106" spans="1:8">
      <c r="A106" t="s">
        <v>13</v>
      </c>
      <c r="B106">
        <v>5</v>
      </c>
      <c r="C106" s="2">
        <v>0.66269</v>
      </c>
      <c r="D106" s="2">
        <v>0.68008999999999997</v>
      </c>
      <c r="E106" s="2">
        <f t="shared" si="7"/>
        <v>1.7399999999999971E-2</v>
      </c>
      <c r="F106" s="2">
        <f t="shared" si="11"/>
        <v>2.573799999999999E-2</v>
      </c>
      <c r="G106" s="2">
        <f t="shared" si="9"/>
        <v>1.7999830145397421E-2</v>
      </c>
      <c r="H106" s="2">
        <f t="shared" si="8"/>
        <v>1.4299023819722669</v>
      </c>
    </row>
    <row r="107" spans="1:8">
      <c r="A107" t="s">
        <v>13</v>
      </c>
      <c r="B107">
        <v>6</v>
      </c>
      <c r="C107" s="2">
        <v>0.65744000000000002</v>
      </c>
      <c r="D107" s="2">
        <v>0.71331999999999995</v>
      </c>
      <c r="E107" s="2">
        <f t="shared" si="7"/>
        <v>5.587999999999993E-2</v>
      </c>
      <c r="F107" s="2">
        <f t="shared" si="11"/>
        <v>2.573799999999999E-2</v>
      </c>
      <c r="G107" s="2">
        <f t="shared" si="9"/>
        <v>1.7999830145397421E-2</v>
      </c>
      <c r="H107" s="2">
        <f t="shared" si="8"/>
        <v>1.4299023819722669</v>
      </c>
    </row>
    <row r="108" spans="1:8">
      <c r="A108" t="s">
        <v>13</v>
      </c>
      <c r="B108">
        <v>7</v>
      </c>
      <c r="C108" s="2">
        <v>0.63341000000000003</v>
      </c>
      <c r="D108" s="2">
        <v>0.61860999999999999</v>
      </c>
      <c r="E108" s="2">
        <f t="shared" si="7"/>
        <v>-1.4800000000000035E-2</v>
      </c>
      <c r="F108" s="2">
        <f t="shared" si="11"/>
        <v>2.573799999999999E-2</v>
      </c>
      <c r="G108" s="2">
        <f t="shared" si="9"/>
        <v>1.7999830145397421E-2</v>
      </c>
      <c r="H108" s="2">
        <f t="shared" si="8"/>
        <v>1.4299023819722669</v>
      </c>
    </row>
    <row r="109" spans="1:8">
      <c r="A109" t="s">
        <v>13</v>
      </c>
      <c r="B109">
        <v>8</v>
      </c>
      <c r="C109" s="2">
        <v>0.64517999999999998</v>
      </c>
      <c r="D109" s="2">
        <v>0.67662999999999995</v>
      </c>
      <c r="E109" s="2">
        <f t="shared" si="7"/>
        <v>3.1449999999999978E-2</v>
      </c>
      <c r="F109" s="2">
        <f t="shared" si="11"/>
        <v>2.573799999999999E-2</v>
      </c>
      <c r="G109" s="2">
        <f t="shared" si="9"/>
        <v>1.7999830145397421E-2</v>
      </c>
      <c r="H109" s="2">
        <f t="shared" si="8"/>
        <v>1.4299023819722669</v>
      </c>
    </row>
    <row r="110" spans="1:8">
      <c r="A110" t="s">
        <v>13</v>
      </c>
      <c r="B110">
        <v>9</v>
      </c>
      <c r="C110" s="2">
        <v>0.63341999999999998</v>
      </c>
      <c r="D110" s="2">
        <v>0.71484000000000003</v>
      </c>
      <c r="E110" s="2">
        <f t="shared" si="7"/>
        <v>8.1420000000000048E-2</v>
      </c>
      <c r="F110" s="2">
        <f t="shared" si="11"/>
        <v>2.573799999999999E-2</v>
      </c>
      <c r="G110" s="2">
        <f t="shared" si="9"/>
        <v>1.7999830145397421E-2</v>
      </c>
      <c r="H110" s="2">
        <f t="shared" si="8"/>
        <v>1.4299023819722669</v>
      </c>
    </row>
    <row r="111" spans="1:8">
      <c r="A111" t="s">
        <v>13</v>
      </c>
      <c r="B111">
        <v>10</v>
      </c>
      <c r="C111" s="2">
        <v>0.66081000000000001</v>
      </c>
      <c r="D111" s="2">
        <v>0.66783999999999999</v>
      </c>
      <c r="E111" s="2">
        <f t="shared" si="7"/>
        <v>7.0299999999999807E-3</v>
      </c>
      <c r="F111" s="2">
        <f t="shared" si="11"/>
        <v>2.573799999999999E-2</v>
      </c>
      <c r="G111" s="2">
        <f t="shared" si="9"/>
        <v>1.7999830145397421E-2</v>
      </c>
      <c r="H111" s="2">
        <f t="shared" si="8"/>
        <v>1.4299023819722669</v>
      </c>
    </row>
    <row r="112" spans="1:8">
      <c r="A112" t="s">
        <v>13</v>
      </c>
      <c r="B112">
        <v>11</v>
      </c>
      <c r="C112" s="2">
        <v>0.65819000000000005</v>
      </c>
      <c r="D112" s="2">
        <v>0.70592999999999995</v>
      </c>
      <c r="E112" s="2">
        <f t="shared" si="7"/>
        <v>4.7739999999999894E-2</v>
      </c>
      <c r="F112" s="2">
        <f t="shared" si="11"/>
        <v>2.573799999999999E-2</v>
      </c>
      <c r="G112" s="2">
        <f t="shared" si="9"/>
        <v>1.7999830145397421E-2</v>
      </c>
      <c r="H112" s="2">
        <f t="shared" si="8"/>
        <v>1.4299023819722669</v>
      </c>
    </row>
    <row r="113" spans="1:8">
      <c r="A113" t="s">
        <v>13</v>
      </c>
      <c r="B113">
        <v>12</v>
      </c>
      <c r="C113" s="2">
        <v>0.66181999999999996</v>
      </c>
      <c r="D113" s="2">
        <v>0.63849</v>
      </c>
      <c r="E113" s="2">
        <f t="shared" si="7"/>
        <v>-2.3329999999999962E-2</v>
      </c>
      <c r="F113" s="2">
        <f t="shared" si="11"/>
        <v>2.573799999999999E-2</v>
      </c>
      <c r="G113" s="2">
        <f t="shared" si="9"/>
        <v>1.7999830145397421E-2</v>
      </c>
      <c r="H113" s="2">
        <f t="shared" si="8"/>
        <v>1.4299023819722669</v>
      </c>
    </row>
    <row r="114" spans="1:8">
      <c r="A114" t="s">
        <v>13</v>
      </c>
      <c r="B114">
        <v>13</v>
      </c>
      <c r="C114" s="2">
        <v>0.65293000000000001</v>
      </c>
      <c r="D114" s="2">
        <v>0.71362999999999999</v>
      </c>
      <c r="E114" s="2">
        <f t="shared" si="7"/>
        <v>6.0699999999999976E-2</v>
      </c>
      <c r="F114" s="2">
        <f t="shared" si="11"/>
        <v>2.573799999999999E-2</v>
      </c>
      <c r="G114" s="2">
        <f t="shared" si="9"/>
        <v>1.7999830145397421E-2</v>
      </c>
      <c r="H114" s="2">
        <f t="shared" si="8"/>
        <v>1.4299023819722669</v>
      </c>
    </row>
    <row r="115" spans="1:8">
      <c r="A115" t="s">
        <v>13</v>
      </c>
      <c r="B115">
        <v>14</v>
      </c>
      <c r="C115" s="2">
        <v>0.63429000000000002</v>
      </c>
      <c r="D115" s="2">
        <v>0.65798000000000001</v>
      </c>
      <c r="E115" s="2">
        <f t="shared" si="7"/>
        <v>2.3689999999999989E-2</v>
      </c>
      <c r="F115" s="2">
        <f t="shared" si="11"/>
        <v>2.573799999999999E-2</v>
      </c>
      <c r="G115" s="2">
        <f t="shared" si="9"/>
        <v>1.7999830145397421E-2</v>
      </c>
      <c r="H115" s="2">
        <f t="shared" si="8"/>
        <v>1.4299023819722669</v>
      </c>
    </row>
    <row r="116" spans="1:8">
      <c r="A116" t="s">
        <v>13</v>
      </c>
      <c r="B116">
        <v>15</v>
      </c>
      <c r="C116" s="2">
        <v>0.64931000000000005</v>
      </c>
      <c r="D116" s="2">
        <v>0.72184000000000004</v>
      </c>
      <c r="E116" s="2">
        <f t="shared" si="7"/>
        <v>7.2529999999999983E-2</v>
      </c>
      <c r="F116" s="2">
        <f t="shared" si="11"/>
        <v>2.573799999999999E-2</v>
      </c>
      <c r="G116" s="2">
        <f t="shared" si="9"/>
        <v>1.7999830145397421E-2</v>
      </c>
      <c r="H116" s="2">
        <f t="shared" si="8"/>
        <v>1.4299023819722669</v>
      </c>
    </row>
    <row r="117" spans="1:8">
      <c r="A117" t="s">
        <v>13</v>
      </c>
      <c r="B117">
        <v>16</v>
      </c>
      <c r="C117" s="2">
        <v>0.63141000000000003</v>
      </c>
      <c r="D117" s="2">
        <v>0.62400999999999995</v>
      </c>
      <c r="E117" s="2">
        <f t="shared" si="7"/>
        <v>-7.4000000000000732E-3</v>
      </c>
      <c r="F117" s="2">
        <f t="shared" si="11"/>
        <v>2.573799999999999E-2</v>
      </c>
      <c r="G117" s="2">
        <f t="shared" si="9"/>
        <v>1.7999830145397421E-2</v>
      </c>
      <c r="H117" s="2">
        <f t="shared" si="8"/>
        <v>1.4299023819722669</v>
      </c>
    </row>
    <row r="118" spans="1:8">
      <c r="A118" t="s">
        <v>13</v>
      </c>
      <c r="B118">
        <v>17</v>
      </c>
      <c r="C118" s="2">
        <v>0.64993000000000001</v>
      </c>
      <c r="D118" s="2">
        <v>0.68730999999999998</v>
      </c>
      <c r="E118" s="2">
        <f t="shared" si="7"/>
        <v>3.7379999999999969E-2</v>
      </c>
      <c r="F118" s="2">
        <f t="shared" si="11"/>
        <v>2.573799999999999E-2</v>
      </c>
      <c r="G118" s="2">
        <f t="shared" si="9"/>
        <v>1.7999830145397421E-2</v>
      </c>
      <c r="H118" s="2">
        <f t="shared" si="8"/>
        <v>1.4299023819722669</v>
      </c>
    </row>
    <row r="119" spans="1:8">
      <c r="A119" t="s">
        <v>13</v>
      </c>
      <c r="B119">
        <v>18</v>
      </c>
      <c r="C119" s="2">
        <v>0.66581999999999997</v>
      </c>
      <c r="D119" s="2">
        <v>0.63658000000000003</v>
      </c>
      <c r="E119" s="2">
        <f t="shared" si="7"/>
        <v>-2.9239999999999933E-2</v>
      </c>
      <c r="F119" s="2">
        <f t="shared" si="11"/>
        <v>2.573799999999999E-2</v>
      </c>
      <c r="G119" s="2">
        <f t="shared" si="9"/>
        <v>1.7999830145397421E-2</v>
      </c>
      <c r="H119" s="2">
        <f t="shared" si="8"/>
        <v>1.4299023819722669</v>
      </c>
    </row>
    <row r="120" spans="1:8">
      <c r="A120" t="s">
        <v>13</v>
      </c>
      <c r="B120">
        <v>19</v>
      </c>
      <c r="C120" s="2">
        <v>0.65730999999999995</v>
      </c>
      <c r="D120" s="2">
        <v>0.70911999999999997</v>
      </c>
      <c r="E120" s="2">
        <f t="shared" si="7"/>
        <v>5.1810000000000023E-2</v>
      </c>
      <c r="F120" s="2">
        <f t="shared" si="11"/>
        <v>2.573799999999999E-2</v>
      </c>
      <c r="G120" s="2">
        <f t="shared" si="9"/>
        <v>1.7999830145397421E-2</v>
      </c>
      <c r="H120" s="2">
        <f t="shared" si="8"/>
        <v>1.4299023819722669</v>
      </c>
    </row>
    <row r="121" spans="1:8">
      <c r="A121" t="s">
        <v>13</v>
      </c>
      <c r="B121">
        <v>20</v>
      </c>
      <c r="C121" s="2">
        <v>0.66681999999999997</v>
      </c>
      <c r="D121" s="2">
        <v>0.69532000000000005</v>
      </c>
      <c r="E121" s="2">
        <f t="shared" si="7"/>
        <v>2.8500000000000081E-2</v>
      </c>
      <c r="F121" s="2">
        <f t="shared" si="11"/>
        <v>2.573799999999999E-2</v>
      </c>
      <c r="G121" s="2">
        <f t="shared" si="9"/>
        <v>1.7999830145397421E-2</v>
      </c>
      <c r="H121" s="2">
        <f t="shared" si="8"/>
        <v>1.4299023819722669</v>
      </c>
    </row>
    <row r="122" spans="1:8">
      <c r="A122" t="s">
        <v>14</v>
      </c>
      <c r="B122">
        <v>1</v>
      </c>
      <c r="C122" s="2">
        <v>0.67481000000000002</v>
      </c>
      <c r="D122" s="2">
        <v>0.63848000000000005</v>
      </c>
      <c r="E122" s="2">
        <f t="shared" si="7"/>
        <v>-3.6329999999999973E-2</v>
      </c>
      <c r="F122" s="2">
        <f t="shared" ref="F122:F141" si="12">AVERAGE($E$122:$E$141)</f>
        <v>3.0576499999999986E-2</v>
      </c>
      <c r="G122" s="2">
        <f t="shared" si="9"/>
        <v>1.7999830145397421E-2</v>
      </c>
      <c r="H122" s="2">
        <f t="shared" si="8"/>
        <v>1.6987104740995811</v>
      </c>
    </row>
    <row r="123" spans="1:8">
      <c r="A123" t="s">
        <v>14</v>
      </c>
      <c r="B123">
        <v>2</v>
      </c>
      <c r="C123" s="2">
        <v>0.67818999999999996</v>
      </c>
      <c r="D123" s="2">
        <v>0.72602999999999995</v>
      </c>
      <c r="E123" s="2">
        <f t="shared" si="7"/>
        <v>4.7839999999999994E-2</v>
      </c>
      <c r="F123" s="2">
        <f t="shared" si="12"/>
        <v>3.0576499999999986E-2</v>
      </c>
      <c r="G123" s="2">
        <f t="shared" si="9"/>
        <v>1.7999830145397421E-2</v>
      </c>
      <c r="H123" s="2">
        <f t="shared" si="8"/>
        <v>1.6987104740995811</v>
      </c>
    </row>
    <row r="124" spans="1:8">
      <c r="A124" t="s">
        <v>14</v>
      </c>
      <c r="B124">
        <v>3</v>
      </c>
      <c r="C124" s="2">
        <v>0.68181999999999998</v>
      </c>
      <c r="D124" s="2">
        <v>0.68249000000000004</v>
      </c>
      <c r="E124" s="2">
        <f t="shared" si="7"/>
        <v>6.7000000000005944E-4</v>
      </c>
      <c r="F124" s="2">
        <f t="shared" si="12"/>
        <v>3.0576499999999986E-2</v>
      </c>
      <c r="G124" s="2">
        <f t="shared" si="9"/>
        <v>1.7999830145397421E-2</v>
      </c>
      <c r="H124" s="2">
        <f t="shared" si="8"/>
        <v>1.6987104740995811</v>
      </c>
    </row>
    <row r="125" spans="1:8">
      <c r="A125" t="s">
        <v>14</v>
      </c>
      <c r="B125">
        <v>4</v>
      </c>
      <c r="C125" s="2">
        <v>0.66693000000000002</v>
      </c>
      <c r="D125" s="2">
        <v>0.74526000000000003</v>
      </c>
      <c r="E125" s="2">
        <f t="shared" si="7"/>
        <v>7.8330000000000011E-2</v>
      </c>
      <c r="F125" s="2">
        <f t="shared" si="12"/>
        <v>3.0576499999999986E-2</v>
      </c>
      <c r="G125" s="2">
        <f t="shared" si="9"/>
        <v>1.7999830145397421E-2</v>
      </c>
      <c r="H125" s="2">
        <f t="shared" si="8"/>
        <v>1.6987104740995811</v>
      </c>
    </row>
    <row r="126" spans="1:8">
      <c r="A126" t="s">
        <v>14</v>
      </c>
      <c r="B126">
        <v>5</v>
      </c>
      <c r="C126" s="2">
        <v>0.65429000000000004</v>
      </c>
      <c r="D126" s="2">
        <v>0.67569999999999997</v>
      </c>
      <c r="E126" s="2">
        <f t="shared" si="7"/>
        <v>2.1409999999999929E-2</v>
      </c>
      <c r="F126" s="2">
        <f t="shared" si="12"/>
        <v>3.0576499999999986E-2</v>
      </c>
      <c r="G126" s="2">
        <f t="shared" si="9"/>
        <v>1.7999830145397421E-2</v>
      </c>
      <c r="H126" s="2">
        <f t="shared" si="8"/>
        <v>1.6987104740995811</v>
      </c>
    </row>
    <row r="127" spans="1:8">
      <c r="A127" t="s">
        <v>14</v>
      </c>
      <c r="B127">
        <v>6</v>
      </c>
      <c r="C127" s="2">
        <v>0.66930999999999996</v>
      </c>
      <c r="D127" s="2">
        <v>0.73299999999999998</v>
      </c>
      <c r="E127" s="2">
        <f t="shared" si="7"/>
        <v>6.3690000000000024E-2</v>
      </c>
      <c r="F127" s="2">
        <f t="shared" si="12"/>
        <v>3.0576499999999986E-2</v>
      </c>
      <c r="G127" s="2">
        <f t="shared" si="9"/>
        <v>1.7999830145397421E-2</v>
      </c>
      <c r="H127" s="2">
        <f t="shared" si="8"/>
        <v>1.6987104740995811</v>
      </c>
    </row>
    <row r="128" spans="1:8">
      <c r="A128" t="s">
        <v>14</v>
      </c>
      <c r="B128">
        <v>7</v>
      </c>
      <c r="C128" s="2">
        <v>0.64541000000000004</v>
      </c>
      <c r="D128" s="2">
        <v>0.63144999999999996</v>
      </c>
      <c r="E128" s="2">
        <f t="shared" si="7"/>
        <v>-1.3960000000000083E-2</v>
      </c>
      <c r="F128" s="2">
        <f t="shared" si="12"/>
        <v>3.0576499999999986E-2</v>
      </c>
      <c r="G128" s="2">
        <f t="shared" si="9"/>
        <v>1.7999830145397421E-2</v>
      </c>
      <c r="H128" s="2">
        <f t="shared" si="8"/>
        <v>1.6987104740995811</v>
      </c>
    </row>
    <row r="129" spans="1:8">
      <c r="A129" t="s">
        <v>14</v>
      </c>
      <c r="B129">
        <v>8</v>
      </c>
      <c r="C129" s="2">
        <v>0.66993000000000003</v>
      </c>
      <c r="D129" s="2">
        <v>0.70679000000000003</v>
      </c>
      <c r="E129" s="2">
        <f t="shared" si="7"/>
        <v>3.6860000000000004E-2</v>
      </c>
      <c r="F129" s="2">
        <f t="shared" si="12"/>
        <v>3.0576499999999986E-2</v>
      </c>
      <c r="G129" s="2">
        <f t="shared" si="9"/>
        <v>1.7999830145397421E-2</v>
      </c>
      <c r="H129" s="2">
        <f t="shared" si="8"/>
        <v>1.6987104740995811</v>
      </c>
    </row>
    <row r="130" spans="1:8">
      <c r="A130" t="s">
        <v>14</v>
      </c>
      <c r="B130">
        <v>9</v>
      </c>
      <c r="C130" s="2">
        <v>0.68581999999999999</v>
      </c>
      <c r="D130" s="2">
        <v>0.77756999999999998</v>
      </c>
      <c r="E130" s="2">
        <f t="shared" ref="E130:E193" si="13">D130-C130</f>
        <v>9.1749999999999998E-2</v>
      </c>
      <c r="F130" s="2">
        <f t="shared" si="12"/>
        <v>3.0576499999999986E-2</v>
      </c>
      <c r="G130" s="2">
        <f t="shared" si="9"/>
        <v>1.7999830145397421E-2</v>
      </c>
      <c r="H130" s="2">
        <f t="shared" ref="H130:H193" si="14">F130/G130</f>
        <v>1.6987104740995811</v>
      </c>
    </row>
    <row r="131" spans="1:8">
      <c r="A131" t="s">
        <v>14</v>
      </c>
      <c r="B131">
        <v>10</v>
      </c>
      <c r="C131" s="2">
        <v>0.67130999999999996</v>
      </c>
      <c r="D131" s="2">
        <v>0.68132999999999999</v>
      </c>
      <c r="E131" s="2">
        <f t="shared" si="13"/>
        <v>1.0020000000000029E-2</v>
      </c>
      <c r="F131" s="2">
        <f t="shared" si="12"/>
        <v>3.0576499999999986E-2</v>
      </c>
      <c r="G131" s="2">
        <f t="shared" ref="G131:G194" si="15">_xlfn.STDEV.S($E$2:$E$21)</f>
        <v>1.7999830145397421E-2</v>
      </c>
      <c r="H131" s="2">
        <f t="shared" si="14"/>
        <v>1.6987104740995811</v>
      </c>
    </row>
    <row r="132" spans="1:8">
      <c r="A132" t="s">
        <v>14</v>
      </c>
      <c r="B132">
        <v>11</v>
      </c>
      <c r="C132" s="2">
        <v>0.68681999999999999</v>
      </c>
      <c r="D132" s="2">
        <v>0.74156999999999995</v>
      </c>
      <c r="E132" s="2">
        <f t="shared" si="13"/>
        <v>5.4749999999999965E-2</v>
      </c>
      <c r="F132" s="2">
        <f t="shared" si="12"/>
        <v>3.0576499999999986E-2</v>
      </c>
      <c r="G132" s="2">
        <f t="shared" si="15"/>
        <v>1.7999830145397421E-2</v>
      </c>
      <c r="H132" s="2">
        <f t="shared" si="14"/>
        <v>1.6987104740995811</v>
      </c>
    </row>
    <row r="133" spans="1:8">
      <c r="A133" t="s">
        <v>14</v>
      </c>
      <c r="B133">
        <v>12</v>
      </c>
      <c r="C133" s="2">
        <v>0.65880000000000005</v>
      </c>
      <c r="D133" s="2">
        <v>0.63548000000000004</v>
      </c>
      <c r="E133" s="2">
        <f t="shared" si="13"/>
        <v>-2.3320000000000007E-2</v>
      </c>
      <c r="F133" s="2">
        <f t="shared" si="12"/>
        <v>3.0576499999999986E-2</v>
      </c>
      <c r="G133" s="2">
        <f t="shared" si="15"/>
        <v>1.7999830145397421E-2</v>
      </c>
      <c r="H133" s="2">
        <f t="shared" si="14"/>
        <v>1.6987104740995811</v>
      </c>
    </row>
    <row r="134" spans="1:8">
      <c r="A134" t="s">
        <v>14</v>
      </c>
      <c r="B134">
        <v>13</v>
      </c>
      <c r="C134" s="2">
        <v>0.65680000000000005</v>
      </c>
      <c r="D134" s="2">
        <v>0.72577999999999998</v>
      </c>
      <c r="E134" s="2">
        <f t="shared" si="13"/>
        <v>6.897999999999993E-2</v>
      </c>
      <c r="F134" s="2">
        <f t="shared" si="12"/>
        <v>3.0576499999999986E-2</v>
      </c>
      <c r="G134" s="2">
        <f t="shared" si="15"/>
        <v>1.7999830145397421E-2</v>
      </c>
      <c r="H134" s="2">
        <f t="shared" si="14"/>
        <v>1.6987104740995811</v>
      </c>
    </row>
    <row r="135" spans="1:8">
      <c r="A135" t="s">
        <v>14</v>
      </c>
      <c r="B135">
        <v>14</v>
      </c>
      <c r="C135" s="2">
        <v>0.66168000000000005</v>
      </c>
      <c r="D135" s="2">
        <v>0.68998999999999999</v>
      </c>
      <c r="E135" s="2">
        <f t="shared" si="13"/>
        <v>2.8309999999999946E-2</v>
      </c>
      <c r="F135" s="2">
        <f t="shared" si="12"/>
        <v>3.0576499999999986E-2</v>
      </c>
      <c r="G135" s="2">
        <f t="shared" si="15"/>
        <v>1.7999830145397421E-2</v>
      </c>
      <c r="H135" s="2">
        <f t="shared" si="14"/>
        <v>1.6987104740995811</v>
      </c>
    </row>
    <row r="136" spans="1:8">
      <c r="A136" t="s">
        <v>14</v>
      </c>
      <c r="B136">
        <v>15</v>
      </c>
      <c r="C136" s="2">
        <v>0.67393000000000003</v>
      </c>
      <c r="D136" s="2">
        <v>0.75592999999999999</v>
      </c>
      <c r="E136" s="2">
        <f t="shared" si="13"/>
        <v>8.1999999999999962E-2</v>
      </c>
      <c r="F136" s="2">
        <f t="shared" si="12"/>
        <v>3.0576499999999986E-2</v>
      </c>
      <c r="G136" s="2">
        <f t="shared" si="15"/>
        <v>1.7999830145397421E-2</v>
      </c>
      <c r="H136" s="2">
        <f t="shared" si="14"/>
        <v>1.6987104740995811</v>
      </c>
    </row>
    <row r="137" spans="1:8">
      <c r="A137" t="s">
        <v>14</v>
      </c>
      <c r="B137">
        <v>16</v>
      </c>
      <c r="C137" s="2">
        <v>0.68069000000000002</v>
      </c>
      <c r="D137" s="2">
        <v>0.67486000000000002</v>
      </c>
      <c r="E137" s="2">
        <f t="shared" si="13"/>
        <v>-5.8300000000000018E-3</v>
      </c>
      <c r="F137" s="2">
        <f t="shared" si="12"/>
        <v>3.0576499999999986E-2</v>
      </c>
      <c r="G137" s="2">
        <f t="shared" si="15"/>
        <v>1.7999830145397421E-2</v>
      </c>
      <c r="H137" s="2">
        <f t="shared" si="14"/>
        <v>1.6987104740995811</v>
      </c>
    </row>
    <row r="138" spans="1:8">
      <c r="A138" t="s">
        <v>14</v>
      </c>
      <c r="B138">
        <v>17</v>
      </c>
      <c r="C138" s="2">
        <v>0.67544000000000004</v>
      </c>
      <c r="D138" s="2">
        <v>0.71879999999999999</v>
      </c>
      <c r="E138" s="2">
        <f t="shared" si="13"/>
        <v>4.3359999999999954E-2</v>
      </c>
      <c r="F138" s="2">
        <f t="shared" si="12"/>
        <v>3.0576499999999986E-2</v>
      </c>
      <c r="G138" s="2">
        <f t="shared" si="15"/>
        <v>1.7999830145397421E-2</v>
      </c>
      <c r="H138" s="2">
        <f t="shared" si="14"/>
        <v>1.6987104740995811</v>
      </c>
    </row>
    <row r="139" spans="1:8">
      <c r="A139" t="s">
        <v>14</v>
      </c>
      <c r="B139">
        <v>18</v>
      </c>
      <c r="C139" s="2">
        <v>0.65141000000000004</v>
      </c>
      <c r="D139" s="2">
        <v>0.62158999999999998</v>
      </c>
      <c r="E139" s="2">
        <f t="shared" si="13"/>
        <v>-2.9820000000000069E-2</v>
      </c>
      <c r="F139" s="2">
        <f t="shared" si="12"/>
        <v>3.0576499999999986E-2</v>
      </c>
      <c r="G139" s="2">
        <f t="shared" si="15"/>
        <v>1.7999830145397421E-2</v>
      </c>
      <c r="H139" s="2">
        <f t="shared" si="14"/>
        <v>1.6987104740995811</v>
      </c>
    </row>
    <row r="140" spans="1:8">
      <c r="A140" t="s">
        <v>14</v>
      </c>
      <c r="B140">
        <v>19</v>
      </c>
      <c r="C140" s="2">
        <v>0.66317999999999999</v>
      </c>
      <c r="D140" s="2">
        <v>0.72240000000000004</v>
      </c>
      <c r="E140" s="2">
        <f t="shared" si="13"/>
        <v>5.922000000000005E-2</v>
      </c>
      <c r="F140" s="2">
        <f t="shared" si="12"/>
        <v>3.0576499999999986E-2</v>
      </c>
      <c r="G140" s="2">
        <f t="shared" si="15"/>
        <v>1.7999830145397421E-2</v>
      </c>
      <c r="H140" s="2">
        <f t="shared" si="14"/>
        <v>1.6987104740995811</v>
      </c>
    </row>
    <row r="141" spans="1:8">
      <c r="A141" t="s">
        <v>14</v>
      </c>
      <c r="B141">
        <v>20</v>
      </c>
      <c r="C141" s="2">
        <v>0.65142</v>
      </c>
      <c r="D141" s="2">
        <v>0.68501999999999996</v>
      </c>
      <c r="E141" s="2">
        <f t="shared" si="13"/>
        <v>3.3599999999999963E-2</v>
      </c>
      <c r="F141" s="2">
        <f t="shared" si="12"/>
        <v>3.0576499999999986E-2</v>
      </c>
      <c r="G141" s="2">
        <f t="shared" si="15"/>
        <v>1.7999830145397421E-2</v>
      </c>
      <c r="H141" s="2">
        <f t="shared" si="14"/>
        <v>1.6987104740995811</v>
      </c>
    </row>
    <row r="142" spans="1:8">
      <c r="A142" t="s">
        <v>15</v>
      </c>
      <c r="B142">
        <v>1</v>
      </c>
      <c r="C142" s="2">
        <v>0.69130999999999998</v>
      </c>
      <c r="D142" s="2">
        <v>0.64946999999999999</v>
      </c>
      <c r="E142" s="2">
        <f t="shared" si="13"/>
        <v>-4.1839999999999988E-2</v>
      </c>
      <c r="F142" s="2">
        <f t="shared" ref="F142:F161" si="16">AVERAGE($E$142:$E$161)</f>
        <v>3.1068499999999999E-2</v>
      </c>
      <c r="G142" s="2">
        <f t="shared" si="15"/>
        <v>1.7999830145397421E-2</v>
      </c>
      <c r="H142" s="2">
        <f t="shared" si="14"/>
        <v>1.7260440653627085</v>
      </c>
    </row>
    <row r="143" spans="1:8">
      <c r="A143" t="s">
        <v>15</v>
      </c>
      <c r="B143">
        <v>2</v>
      </c>
      <c r="C143" s="2">
        <v>0.70682</v>
      </c>
      <c r="D143" s="2">
        <v>0.75670000000000004</v>
      </c>
      <c r="E143" s="2">
        <f t="shared" si="13"/>
        <v>4.9880000000000035E-2</v>
      </c>
      <c r="F143" s="2">
        <f t="shared" si="16"/>
        <v>3.1068499999999999E-2</v>
      </c>
      <c r="G143" s="2">
        <f t="shared" si="15"/>
        <v>1.7999830145397421E-2</v>
      </c>
      <c r="H143" s="2">
        <f t="shared" si="14"/>
        <v>1.7260440653627085</v>
      </c>
    </row>
    <row r="144" spans="1:8">
      <c r="A144" t="s">
        <v>15</v>
      </c>
      <c r="B144">
        <v>3</v>
      </c>
      <c r="C144" s="2">
        <v>0.67279999999999995</v>
      </c>
      <c r="D144" s="2">
        <v>0.67127000000000003</v>
      </c>
      <c r="E144" s="2">
        <f t="shared" si="13"/>
        <v>-1.5299999999999203E-3</v>
      </c>
      <c r="F144" s="2">
        <f t="shared" si="16"/>
        <v>3.1068499999999999E-2</v>
      </c>
      <c r="G144" s="2">
        <f t="shared" si="15"/>
        <v>1.7999830145397421E-2</v>
      </c>
      <c r="H144" s="2">
        <f t="shared" si="14"/>
        <v>1.7260440653627085</v>
      </c>
    </row>
    <row r="145" spans="1:8">
      <c r="A145" t="s">
        <v>15</v>
      </c>
      <c r="B145">
        <v>4</v>
      </c>
      <c r="C145" s="2">
        <v>0.67679999999999996</v>
      </c>
      <c r="D145" s="2">
        <v>0.75990999999999997</v>
      </c>
      <c r="E145" s="2">
        <f t="shared" si="13"/>
        <v>8.3110000000000017E-2</v>
      </c>
      <c r="F145" s="2">
        <f t="shared" si="16"/>
        <v>3.1068499999999999E-2</v>
      </c>
      <c r="G145" s="2">
        <f t="shared" si="15"/>
        <v>1.7999830145397421E-2</v>
      </c>
      <c r="H145" s="2">
        <f t="shared" si="14"/>
        <v>1.7260440653627085</v>
      </c>
    </row>
    <row r="146" spans="1:8">
      <c r="A146" t="s">
        <v>15</v>
      </c>
      <c r="B146">
        <v>5</v>
      </c>
      <c r="C146" s="2">
        <v>0.68167999999999995</v>
      </c>
      <c r="D146" s="2">
        <v>0.70274999999999999</v>
      </c>
      <c r="E146" s="2">
        <f t="shared" si="13"/>
        <v>2.1070000000000033E-2</v>
      </c>
      <c r="F146" s="2">
        <f t="shared" si="16"/>
        <v>3.1068499999999999E-2</v>
      </c>
      <c r="G146" s="2">
        <f t="shared" si="15"/>
        <v>1.7999830145397421E-2</v>
      </c>
      <c r="H146" s="2">
        <f t="shared" si="14"/>
        <v>1.7260440653627085</v>
      </c>
    </row>
    <row r="147" spans="1:8">
      <c r="A147" t="s">
        <v>15</v>
      </c>
      <c r="B147">
        <v>6</v>
      </c>
      <c r="C147" s="2">
        <v>0.68793000000000004</v>
      </c>
      <c r="D147" s="2">
        <v>0.75509000000000004</v>
      </c>
      <c r="E147" s="2">
        <f t="shared" si="13"/>
        <v>6.7159999999999997E-2</v>
      </c>
      <c r="F147" s="2">
        <f t="shared" si="16"/>
        <v>3.1068499999999999E-2</v>
      </c>
      <c r="G147" s="2">
        <f t="shared" si="15"/>
        <v>1.7999830145397421E-2</v>
      </c>
      <c r="H147" s="2">
        <f t="shared" si="14"/>
        <v>1.7260440653627085</v>
      </c>
    </row>
    <row r="148" spans="1:8">
      <c r="A148" t="s">
        <v>15</v>
      </c>
      <c r="B148">
        <v>7</v>
      </c>
      <c r="C148" s="2">
        <v>0.70069000000000004</v>
      </c>
      <c r="D148" s="2">
        <v>0.68322000000000005</v>
      </c>
      <c r="E148" s="2">
        <f t="shared" si="13"/>
        <v>-1.7469999999999986E-2</v>
      </c>
      <c r="F148" s="2">
        <f t="shared" si="16"/>
        <v>3.1068499999999999E-2</v>
      </c>
      <c r="G148" s="2">
        <f t="shared" si="15"/>
        <v>1.7999830145397421E-2</v>
      </c>
      <c r="H148" s="2">
        <f t="shared" si="14"/>
        <v>1.7260440653627085</v>
      </c>
    </row>
    <row r="149" spans="1:8">
      <c r="A149" t="s">
        <v>15</v>
      </c>
      <c r="B149">
        <v>8</v>
      </c>
      <c r="C149" s="2">
        <v>0.69543999999999995</v>
      </c>
      <c r="D149" s="2">
        <v>0.73334999999999995</v>
      </c>
      <c r="E149" s="2">
        <f t="shared" si="13"/>
        <v>3.7909999999999999E-2</v>
      </c>
      <c r="F149" s="2">
        <f t="shared" si="16"/>
        <v>3.1068499999999999E-2</v>
      </c>
      <c r="G149" s="2">
        <f t="shared" si="15"/>
        <v>1.7999830145397421E-2</v>
      </c>
      <c r="H149" s="2">
        <f t="shared" si="14"/>
        <v>1.7260440653627085</v>
      </c>
    </row>
    <row r="150" spans="1:8">
      <c r="A150" t="s">
        <v>15</v>
      </c>
      <c r="B150">
        <v>9</v>
      </c>
      <c r="C150" s="2">
        <v>0.66540999999999995</v>
      </c>
      <c r="D150" s="2">
        <v>0.76315</v>
      </c>
      <c r="E150" s="2">
        <f t="shared" si="13"/>
        <v>9.7740000000000049E-2</v>
      </c>
      <c r="F150" s="2">
        <f t="shared" si="16"/>
        <v>3.1068499999999999E-2</v>
      </c>
      <c r="G150" s="2">
        <f t="shared" si="15"/>
        <v>1.7999830145397421E-2</v>
      </c>
      <c r="H150" s="2">
        <f t="shared" si="14"/>
        <v>1.7260440653627085</v>
      </c>
    </row>
    <row r="151" spans="1:8">
      <c r="A151" t="s">
        <v>15</v>
      </c>
      <c r="B151">
        <v>10</v>
      </c>
      <c r="C151" s="2">
        <v>0.68318000000000001</v>
      </c>
      <c r="D151" s="2">
        <v>0.69184999999999997</v>
      </c>
      <c r="E151" s="2">
        <f t="shared" si="13"/>
        <v>8.6699999999999555E-3</v>
      </c>
      <c r="F151" s="2">
        <f t="shared" si="16"/>
        <v>3.1068499999999999E-2</v>
      </c>
      <c r="G151" s="2">
        <f t="shared" si="15"/>
        <v>1.7999830145397421E-2</v>
      </c>
      <c r="H151" s="2">
        <f t="shared" si="14"/>
        <v>1.7260440653627085</v>
      </c>
    </row>
    <row r="152" spans="1:8">
      <c r="A152" t="s">
        <v>15</v>
      </c>
      <c r="B152">
        <v>11</v>
      </c>
      <c r="C152" s="2">
        <v>0.67142000000000002</v>
      </c>
      <c r="D152" s="2">
        <v>0.72882999999999998</v>
      </c>
      <c r="E152" s="2">
        <f t="shared" si="13"/>
        <v>5.7409999999999961E-2</v>
      </c>
      <c r="F152" s="2">
        <f t="shared" si="16"/>
        <v>3.1068499999999999E-2</v>
      </c>
      <c r="G152" s="2">
        <f t="shared" si="15"/>
        <v>1.7999830145397421E-2</v>
      </c>
      <c r="H152" s="2">
        <f t="shared" si="14"/>
        <v>1.7260440653627085</v>
      </c>
    </row>
    <row r="153" spans="1:8">
      <c r="A153" t="s">
        <v>15</v>
      </c>
      <c r="B153">
        <v>12</v>
      </c>
      <c r="C153" s="2">
        <v>0.69281000000000004</v>
      </c>
      <c r="D153" s="2">
        <v>0.66515000000000002</v>
      </c>
      <c r="E153" s="2">
        <f t="shared" si="13"/>
        <v>-2.7660000000000018E-2</v>
      </c>
      <c r="F153" s="2">
        <f t="shared" si="16"/>
        <v>3.1068499999999999E-2</v>
      </c>
      <c r="G153" s="2">
        <f t="shared" si="15"/>
        <v>1.7999830145397421E-2</v>
      </c>
      <c r="H153" s="2">
        <f t="shared" si="14"/>
        <v>1.7260440653627085</v>
      </c>
    </row>
    <row r="154" spans="1:8">
      <c r="A154" t="s">
        <v>15</v>
      </c>
      <c r="B154">
        <v>13</v>
      </c>
      <c r="C154" s="2">
        <v>0.69618999999999998</v>
      </c>
      <c r="D154" s="2">
        <v>0.76910999999999996</v>
      </c>
      <c r="E154" s="2">
        <f t="shared" si="13"/>
        <v>7.2919999999999985E-2</v>
      </c>
      <c r="F154" s="2">
        <f t="shared" si="16"/>
        <v>3.1068499999999999E-2</v>
      </c>
      <c r="G154" s="2">
        <f t="shared" si="15"/>
        <v>1.7999830145397421E-2</v>
      </c>
      <c r="H154" s="2">
        <f t="shared" si="14"/>
        <v>1.7260440653627085</v>
      </c>
    </row>
    <row r="155" spans="1:8">
      <c r="A155" t="s">
        <v>15</v>
      </c>
      <c r="B155">
        <v>14</v>
      </c>
      <c r="C155" s="2">
        <v>0.69982</v>
      </c>
      <c r="D155" s="2">
        <v>0.72841999999999996</v>
      </c>
      <c r="E155" s="2">
        <f t="shared" si="13"/>
        <v>2.8599999999999959E-2</v>
      </c>
      <c r="F155" s="2">
        <f t="shared" si="16"/>
        <v>3.1068499999999999E-2</v>
      </c>
      <c r="G155" s="2">
        <f t="shared" si="15"/>
        <v>1.7999830145397421E-2</v>
      </c>
      <c r="H155" s="2">
        <f t="shared" si="14"/>
        <v>1.7260440653627085</v>
      </c>
    </row>
    <row r="156" spans="1:8">
      <c r="A156" t="s">
        <v>15</v>
      </c>
      <c r="B156">
        <v>15</v>
      </c>
      <c r="C156" s="2">
        <v>0.68493000000000004</v>
      </c>
      <c r="D156" s="2">
        <v>0.77202999999999999</v>
      </c>
      <c r="E156" s="2">
        <f t="shared" si="13"/>
        <v>8.7099999999999955E-2</v>
      </c>
      <c r="F156" s="2">
        <f t="shared" si="16"/>
        <v>3.1068499999999999E-2</v>
      </c>
      <c r="G156" s="2">
        <f t="shared" si="15"/>
        <v>1.7999830145397421E-2</v>
      </c>
      <c r="H156" s="2">
        <f t="shared" si="14"/>
        <v>1.7260440653627085</v>
      </c>
    </row>
    <row r="157" spans="1:8">
      <c r="A157" t="s">
        <v>15</v>
      </c>
      <c r="B157">
        <v>16</v>
      </c>
      <c r="C157" s="2">
        <v>0.67229000000000005</v>
      </c>
      <c r="D157" s="2">
        <v>0.66368000000000005</v>
      </c>
      <c r="E157" s="2">
        <f t="shared" si="13"/>
        <v>-8.6100000000000065E-3</v>
      </c>
      <c r="F157" s="2">
        <f t="shared" si="16"/>
        <v>3.1068499999999999E-2</v>
      </c>
      <c r="G157" s="2">
        <f t="shared" si="15"/>
        <v>1.7999830145397421E-2</v>
      </c>
      <c r="H157" s="2">
        <f t="shared" si="14"/>
        <v>1.7260440653627085</v>
      </c>
    </row>
    <row r="158" spans="1:8">
      <c r="A158" t="s">
        <v>15</v>
      </c>
      <c r="B158">
        <v>17</v>
      </c>
      <c r="C158" s="2">
        <v>0.68730999999999998</v>
      </c>
      <c r="D158" s="2">
        <v>0.73231000000000002</v>
      </c>
      <c r="E158" s="2">
        <f t="shared" si="13"/>
        <v>4.500000000000004E-2</v>
      </c>
      <c r="F158" s="2">
        <f t="shared" si="16"/>
        <v>3.1068499999999999E-2</v>
      </c>
      <c r="G158" s="2">
        <f t="shared" si="15"/>
        <v>1.7999830145397421E-2</v>
      </c>
      <c r="H158" s="2">
        <f t="shared" si="14"/>
        <v>1.7260440653627085</v>
      </c>
    </row>
    <row r="159" spans="1:8">
      <c r="A159" t="s">
        <v>15</v>
      </c>
      <c r="B159">
        <v>18</v>
      </c>
      <c r="C159" s="2">
        <v>0.66341000000000006</v>
      </c>
      <c r="D159" s="2">
        <v>0.62866</v>
      </c>
      <c r="E159" s="2">
        <f t="shared" si="13"/>
        <v>-3.4750000000000059E-2</v>
      </c>
      <c r="F159" s="2">
        <f t="shared" si="16"/>
        <v>3.1068499999999999E-2</v>
      </c>
      <c r="G159" s="2">
        <f t="shared" si="15"/>
        <v>1.7999830145397421E-2</v>
      </c>
      <c r="H159" s="2">
        <f t="shared" si="14"/>
        <v>1.7260440653627085</v>
      </c>
    </row>
    <row r="160" spans="1:8">
      <c r="A160" t="s">
        <v>15</v>
      </c>
      <c r="B160">
        <v>19</v>
      </c>
      <c r="C160" s="2">
        <v>0.68793000000000004</v>
      </c>
      <c r="D160" s="2">
        <v>0.75022</v>
      </c>
      <c r="E160" s="2">
        <f t="shared" si="13"/>
        <v>6.2289999999999957E-2</v>
      </c>
      <c r="F160" s="2">
        <f t="shared" si="16"/>
        <v>3.1068499999999999E-2</v>
      </c>
      <c r="G160" s="2">
        <f t="shared" si="15"/>
        <v>1.7999830145397421E-2</v>
      </c>
      <c r="H160" s="2">
        <f t="shared" si="14"/>
        <v>1.7260440653627085</v>
      </c>
    </row>
    <row r="161" spans="1:8">
      <c r="A161" t="s">
        <v>15</v>
      </c>
      <c r="B161">
        <v>20</v>
      </c>
      <c r="C161" s="2">
        <v>0.70382</v>
      </c>
      <c r="D161" s="2">
        <v>0.73819000000000001</v>
      </c>
      <c r="E161" s="2">
        <f t="shared" si="13"/>
        <v>3.4370000000000012E-2</v>
      </c>
      <c r="F161" s="2">
        <f t="shared" si="16"/>
        <v>3.1068499999999999E-2</v>
      </c>
      <c r="G161" s="2">
        <f t="shared" si="15"/>
        <v>1.7999830145397421E-2</v>
      </c>
      <c r="H161" s="2">
        <f t="shared" si="14"/>
        <v>1.7260440653627085</v>
      </c>
    </row>
    <row r="162" spans="1:8">
      <c r="A162" t="s">
        <v>16</v>
      </c>
      <c r="B162">
        <v>1</v>
      </c>
      <c r="C162" s="2">
        <v>0.70318000000000003</v>
      </c>
      <c r="D162" s="2">
        <v>0.65393000000000001</v>
      </c>
      <c r="E162" s="2">
        <f t="shared" si="13"/>
        <v>-4.9250000000000016E-2</v>
      </c>
      <c r="F162" s="2">
        <f t="shared" ref="F162:F181" si="17">AVERAGE($E$162:$E$181)</f>
        <v>2.9670500000000009E-2</v>
      </c>
      <c r="G162" s="2">
        <f t="shared" si="15"/>
        <v>1.7999830145397421E-2</v>
      </c>
      <c r="H162" s="2">
        <f t="shared" si="14"/>
        <v>1.648376665797971</v>
      </c>
    </row>
    <row r="163" spans="1:8">
      <c r="A163" t="s">
        <v>16</v>
      </c>
      <c r="B163">
        <v>2</v>
      </c>
      <c r="C163" s="2">
        <v>0.68542000000000003</v>
      </c>
      <c r="D163" s="2">
        <v>0.73545000000000005</v>
      </c>
      <c r="E163" s="2">
        <f t="shared" si="13"/>
        <v>5.0030000000000019E-2</v>
      </c>
      <c r="F163" s="2">
        <f t="shared" si="17"/>
        <v>2.9670500000000009E-2</v>
      </c>
      <c r="G163" s="2">
        <f t="shared" si="15"/>
        <v>1.7999830145397421E-2</v>
      </c>
      <c r="H163" s="2">
        <f t="shared" si="14"/>
        <v>1.648376665797971</v>
      </c>
    </row>
    <row r="164" spans="1:8">
      <c r="A164" t="s">
        <v>16</v>
      </c>
      <c r="B164">
        <v>3</v>
      </c>
      <c r="C164" s="2">
        <v>0.71281000000000005</v>
      </c>
      <c r="D164" s="2">
        <v>0.70721000000000001</v>
      </c>
      <c r="E164" s="2">
        <f t="shared" si="13"/>
        <v>-5.6000000000000494E-3</v>
      </c>
      <c r="F164" s="2">
        <f t="shared" si="17"/>
        <v>2.9670500000000009E-2</v>
      </c>
      <c r="G164" s="2">
        <f t="shared" si="15"/>
        <v>1.7999830145397421E-2</v>
      </c>
      <c r="H164" s="2">
        <f t="shared" si="14"/>
        <v>1.648376665797971</v>
      </c>
    </row>
    <row r="165" spans="1:8">
      <c r="A165" t="s">
        <v>16</v>
      </c>
      <c r="B165">
        <v>4</v>
      </c>
      <c r="C165" s="2">
        <v>0.71618999999999999</v>
      </c>
      <c r="D165" s="2">
        <v>0.80218999999999996</v>
      </c>
      <c r="E165" s="2">
        <f t="shared" si="13"/>
        <v>8.5999999999999965E-2</v>
      </c>
      <c r="F165" s="2">
        <f t="shared" si="17"/>
        <v>2.9670500000000009E-2</v>
      </c>
      <c r="G165" s="2">
        <f t="shared" si="15"/>
        <v>1.7999830145397421E-2</v>
      </c>
      <c r="H165" s="2">
        <f t="shared" si="14"/>
        <v>1.648376665797971</v>
      </c>
    </row>
    <row r="166" spans="1:8">
      <c r="A166" t="s">
        <v>16</v>
      </c>
      <c r="B166">
        <v>5</v>
      </c>
      <c r="C166" s="2">
        <v>0.71382000000000001</v>
      </c>
      <c r="D166" s="2">
        <v>0.73267000000000004</v>
      </c>
      <c r="E166" s="2">
        <f t="shared" si="13"/>
        <v>1.8850000000000033E-2</v>
      </c>
      <c r="F166" s="2">
        <f t="shared" si="17"/>
        <v>2.9670500000000009E-2</v>
      </c>
      <c r="G166" s="2">
        <f t="shared" si="15"/>
        <v>1.7999830145397421E-2</v>
      </c>
      <c r="H166" s="2">
        <f t="shared" si="14"/>
        <v>1.648376665797971</v>
      </c>
    </row>
    <row r="167" spans="1:8">
      <c r="A167" t="s">
        <v>16</v>
      </c>
      <c r="B167">
        <v>6</v>
      </c>
      <c r="C167" s="2">
        <v>0.70492999999999995</v>
      </c>
      <c r="D167" s="2">
        <v>0.77366000000000001</v>
      </c>
      <c r="E167" s="2">
        <f t="shared" si="13"/>
        <v>6.8730000000000069E-2</v>
      </c>
      <c r="F167" s="2">
        <f t="shared" si="17"/>
        <v>2.9670500000000009E-2</v>
      </c>
      <c r="G167" s="2">
        <f t="shared" si="15"/>
        <v>1.7999830145397421E-2</v>
      </c>
      <c r="H167" s="2">
        <f t="shared" si="14"/>
        <v>1.648376665797971</v>
      </c>
    </row>
    <row r="168" spans="1:8">
      <c r="A168" t="s">
        <v>16</v>
      </c>
      <c r="B168">
        <v>7</v>
      </c>
      <c r="C168" s="2">
        <v>0.69228999999999996</v>
      </c>
      <c r="D168" s="2">
        <v>0.66942999999999997</v>
      </c>
      <c r="E168" s="2">
        <f t="shared" si="13"/>
        <v>-2.2859999999999991E-2</v>
      </c>
      <c r="F168" s="2">
        <f t="shared" si="17"/>
        <v>2.9670500000000009E-2</v>
      </c>
      <c r="G168" s="2">
        <f t="shared" si="15"/>
        <v>1.7999830145397421E-2</v>
      </c>
      <c r="H168" s="2">
        <f t="shared" si="14"/>
        <v>1.648376665797971</v>
      </c>
    </row>
    <row r="169" spans="1:8">
      <c r="A169" t="s">
        <v>16</v>
      </c>
      <c r="B169">
        <v>8</v>
      </c>
      <c r="C169" s="2">
        <v>0.70130999999999999</v>
      </c>
      <c r="D169" s="2">
        <v>0.73838999999999999</v>
      </c>
      <c r="E169" s="2">
        <f t="shared" si="13"/>
        <v>3.7080000000000002E-2</v>
      </c>
      <c r="F169" s="2">
        <f t="shared" si="17"/>
        <v>2.9670500000000009E-2</v>
      </c>
      <c r="G169" s="2">
        <f t="shared" si="15"/>
        <v>1.7999830145397421E-2</v>
      </c>
      <c r="H169" s="2">
        <f t="shared" si="14"/>
        <v>1.648376665797971</v>
      </c>
    </row>
    <row r="170" spans="1:8">
      <c r="A170" t="s">
        <v>16</v>
      </c>
      <c r="B170">
        <v>9</v>
      </c>
      <c r="C170" s="2">
        <v>0.68340999999999996</v>
      </c>
      <c r="D170" s="2">
        <v>0.78524000000000005</v>
      </c>
      <c r="E170" s="2">
        <f t="shared" si="13"/>
        <v>0.10183000000000009</v>
      </c>
      <c r="F170" s="2">
        <f t="shared" si="17"/>
        <v>2.9670500000000009E-2</v>
      </c>
      <c r="G170" s="2">
        <f t="shared" si="15"/>
        <v>1.7999830145397421E-2</v>
      </c>
      <c r="H170" s="2">
        <f t="shared" si="14"/>
        <v>1.648376665797971</v>
      </c>
    </row>
    <row r="171" spans="1:8">
      <c r="A171" t="s">
        <v>16</v>
      </c>
      <c r="B171">
        <v>10</v>
      </c>
      <c r="C171" s="2">
        <v>0.70792999999999995</v>
      </c>
      <c r="D171" s="2">
        <v>0.71335999999999999</v>
      </c>
      <c r="E171" s="2">
        <f t="shared" si="13"/>
        <v>5.4300000000000459E-3</v>
      </c>
      <c r="F171" s="2">
        <f t="shared" si="17"/>
        <v>2.9670500000000009E-2</v>
      </c>
      <c r="G171" s="2">
        <f t="shared" si="15"/>
        <v>1.7999830145397421E-2</v>
      </c>
      <c r="H171" s="2">
        <f t="shared" si="14"/>
        <v>1.648376665797971</v>
      </c>
    </row>
    <row r="172" spans="1:8">
      <c r="A172" t="s">
        <v>16</v>
      </c>
      <c r="B172">
        <v>11</v>
      </c>
      <c r="C172" s="2">
        <v>0.71782000000000001</v>
      </c>
      <c r="D172" s="2">
        <v>0.77600000000000002</v>
      </c>
      <c r="E172" s="2">
        <f t="shared" si="13"/>
        <v>5.8180000000000009E-2</v>
      </c>
      <c r="F172" s="2">
        <f t="shared" si="17"/>
        <v>2.9670500000000009E-2</v>
      </c>
      <c r="G172" s="2">
        <f t="shared" si="15"/>
        <v>1.7999830145397421E-2</v>
      </c>
      <c r="H172" s="2">
        <f t="shared" si="14"/>
        <v>1.648376665797971</v>
      </c>
    </row>
    <row r="173" spans="1:8">
      <c r="A173" t="s">
        <v>16</v>
      </c>
      <c r="B173">
        <v>12</v>
      </c>
      <c r="C173" s="2">
        <v>0.70931</v>
      </c>
      <c r="D173" s="2">
        <v>0.67540999999999995</v>
      </c>
      <c r="E173" s="2">
        <f t="shared" si="13"/>
        <v>-3.3900000000000041E-2</v>
      </c>
      <c r="F173" s="2">
        <f t="shared" si="17"/>
        <v>2.9670500000000009E-2</v>
      </c>
      <c r="G173" s="2">
        <f t="shared" si="15"/>
        <v>1.7999830145397421E-2</v>
      </c>
      <c r="H173" s="2">
        <f t="shared" si="14"/>
        <v>1.648376665797971</v>
      </c>
    </row>
    <row r="174" spans="1:8">
      <c r="A174" t="s">
        <v>16</v>
      </c>
      <c r="B174">
        <v>13</v>
      </c>
      <c r="C174" s="2">
        <v>0.72482000000000002</v>
      </c>
      <c r="D174" s="2">
        <v>0.79979</v>
      </c>
      <c r="E174" s="2">
        <f t="shared" si="13"/>
        <v>7.4969999999999981E-2</v>
      </c>
      <c r="F174" s="2">
        <f t="shared" si="17"/>
        <v>2.9670500000000009E-2</v>
      </c>
      <c r="G174" s="2">
        <f t="shared" si="15"/>
        <v>1.7999830145397421E-2</v>
      </c>
      <c r="H174" s="2">
        <f t="shared" si="14"/>
        <v>1.648376665797971</v>
      </c>
    </row>
    <row r="175" spans="1:8">
      <c r="A175" t="s">
        <v>16</v>
      </c>
      <c r="B175">
        <v>14</v>
      </c>
      <c r="C175" s="2">
        <v>0.69079999999999997</v>
      </c>
      <c r="D175" s="2">
        <v>0.71779999999999999</v>
      </c>
      <c r="E175" s="2">
        <f t="shared" si="13"/>
        <v>2.7000000000000024E-2</v>
      </c>
      <c r="F175" s="2">
        <f t="shared" si="17"/>
        <v>2.9670500000000009E-2</v>
      </c>
      <c r="G175" s="2">
        <f t="shared" si="15"/>
        <v>1.7999830145397421E-2</v>
      </c>
      <c r="H175" s="2">
        <f t="shared" si="14"/>
        <v>1.648376665797971</v>
      </c>
    </row>
    <row r="176" spans="1:8">
      <c r="A176" t="s">
        <v>16</v>
      </c>
      <c r="B176">
        <v>15</v>
      </c>
      <c r="C176" s="2">
        <v>0.69479999999999997</v>
      </c>
      <c r="D176" s="2">
        <v>0.78510999999999997</v>
      </c>
      <c r="E176" s="2">
        <f t="shared" si="13"/>
        <v>9.0310000000000001E-2</v>
      </c>
      <c r="F176" s="2">
        <f t="shared" si="17"/>
        <v>2.9670500000000009E-2</v>
      </c>
      <c r="G176" s="2">
        <f t="shared" si="15"/>
        <v>1.7999830145397421E-2</v>
      </c>
      <c r="H176" s="2">
        <f t="shared" si="14"/>
        <v>1.648376665797971</v>
      </c>
    </row>
    <row r="177" spans="1:8">
      <c r="A177" t="s">
        <v>16</v>
      </c>
      <c r="B177">
        <v>16</v>
      </c>
      <c r="C177" s="2">
        <v>0.69967999999999997</v>
      </c>
      <c r="D177" s="2">
        <v>0.68640000000000001</v>
      </c>
      <c r="E177" s="2">
        <f t="shared" si="13"/>
        <v>-1.3279999999999959E-2</v>
      </c>
      <c r="F177" s="2">
        <f t="shared" si="17"/>
        <v>2.9670500000000009E-2</v>
      </c>
      <c r="G177" s="2">
        <f t="shared" si="15"/>
        <v>1.7999830145397421E-2</v>
      </c>
      <c r="H177" s="2">
        <f t="shared" si="14"/>
        <v>1.648376665797971</v>
      </c>
    </row>
    <row r="178" spans="1:8">
      <c r="A178" t="s">
        <v>16</v>
      </c>
      <c r="B178">
        <v>17</v>
      </c>
      <c r="C178" s="2">
        <v>0.70592999999999995</v>
      </c>
      <c r="D178" s="2">
        <v>0.75068999999999997</v>
      </c>
      <c r="E178" s="2">
        <f t="shared" si="13"/>
        <v>4.4760000000000022E-2</v>
      </c>
      <c r="F178" s="2">
        <f t="shared" si="17"/>
        <v>2.9670500000000009E-2</v>
      </c>
      <c r="G178" s="2">
        <f t="shared" si="15"/>
        <v>1.7999830145397421E-2</v>
      </c>
      <c r="H178" s="2">
        <f t="shared" si="14"/>
        <v>1.648376665797971</v>
      </c>
    </row>
    <row r="179" spans="1:8">
      <c r="A179" t="s">
        <v>16</v>
      </c>
      <c r="B179">
        <v>18</v>
      </c>
      <c r="C179" s="2">
        <v>0.71869000000000005</v>
      </c>
      <c r="D179" s="2">
        <v>0.67712000000000006</v>
      </c>
      <c r="E179" s="2">
        <f t="shared" si="13"/>
        <v>-4.1569999999999996E-2</v>
      </c>
      <c r="F179" s="2">
        <f t="shared" si="17"/>
        <v>2.9670500000000009E-2</v>
      </c>
      <c r="G179" s="2">
        <f t="shared" si="15"/>
        <v>1.7999830145397421E-2</v>
      </c>
      <c r="H179" s="2">
        <f t="shared" si="14"/>
        <v>1.648376665797971</v>
      </c>
    </row>
    <row r="180" spans="1:8">
      <c r="A180" t="s">
        <v>16</v>
      </c>
      <c r="B180">
        <v>19</v>
      </c>
      <c r="C180" s="2">
        <v>0.71343999999999996</v>
      </c>
      <c r="D180" s="2">
        <v>0.77688999999999997</v>
      </c>
      <c r="E180" s="2">
        <f t="shared" si="13"/>
        <v>6.3450000000000006E-2</v>
      </c>
      <c r="F180" s="2">
        <f t="shared" si="17"/>
        <v>2.9670500000000009E-2</v>
      </c>
      <c r="G180" s="2">
        <f t="shared" si="15"/>
        <v>1.7999830145397421E-2</v>
      </c>
      <c r="H180" s="2">
        <f t="shared" si="14"/>
        <v>1.648376665797971</v>
      </c>
    </row>
    <row r="181" spans="1:8">
      <c r="A181" t="s">
        <v>16</v>
      </c>
      <c r="B181">
        <v>20</v>
      </c>
      <c r="C181" s="2">
        <v>0.68340999999999996</v>
      </c>
      <c r="D181" s="2">
        <v>0.71665999999999996</v>
      </c>
      <c r="E181" s="2">
        <f t="shared" si="13"/>
        <v>3.3250000000000002E-2</v>
      </c>
      <c r="F181" s="2">
        <f t="shared" si="17"/>
        <v>2.9670500000000009E-2</v>
      </c>
      <c r="G181" s="2">
        <f t="shared" si="15"/>
        <v>1.7999830145397421E-2</v>
      </c>
      <c r="H181" s="2">
        <f t="shared" si="14"/>
        <v>1.648376665797971</v>
      </c>
    </row>
    <row r="182" spans="1:8">
      <c r="A182" t="s">
        <v>17</v>
      </c>
      <c r="B182">
        <v>1</v>
      </c>
      <c r="C182" s="2">
        <v>0.72192999999999996</v>
      </c>
      <c r="D182" s="2">
        <v>0.67003000000000001</v>
      </c>
      <c r="E182" s="2">
        <f t="shared" si="13"/>
        <v>-5.1899999999999946E-2</v>
      </c>
      <c r="F182" s="2">
        <f t="shared" ref="F182:F201" si="18">AVERAGE($E$182:$E$201)</f>
        <v>3.3018000000000013E-2</v>
      </c>
      <c r="G182" s="2">
        <f t="shared" si="15"/>
        <v>1.7999830145397421E-2</v>
      </c>
      <c r="H182" s="2">
        <f t="shared" si="14"/>
        <v>1.8343506429388587</v>
      </c>
    </row>
    <row r="183" spans="1:8">
      <c r="A183" t="s">
        <v>17</v>
      </c>
      <c r="B183">
        <v>2</v>
      </c>
      <c r="C183" s="2">
        <v>0.73782000000000003</v>
      </c>
      <c r="D183" s="2">
        <v>0.79274</v>
      </c>
      <c r="E183" s="2">
        <f t="shared" si="13"/>
        <v>5.4919999999999969E-2</v>
      </c>
      <c r="F183" s="2">
        <f t="shared" si="18"/>
        <v>3.3018000000000013E-2</v>
      </c>
      <c r="G183" s="2">
        <f t="shared" si="15"/>
        <v>1.7999830145397421E-2</v>
      </c>
      <c r="H183" s="2">
        <f t="shared" si="14"/>
        <v>1.8343506429388587</v>
      </c>
    </row>
    <row r="184" spans="1:8">
      <c r="A184" t="s">
        <v>17</v>
      </c>
      <c r="B184">
        <v>3</v>
      </c>
      <c r="C184" s="2">
        <v>0.72931000000000001</v>
      </c>
      <c r="D184" s="2">
        <v>0.72436999999999996</v>
      </c>
      <c r="E184" s="2">
        <f t="shared" si="13"/>
        <v>-4.9400000000000555E-3</v>
      </c>
      <c r="F184" s="2">
        <f t="shared" si="18"/>
        <v>3.3018000000000013E-2</v>
      </c>
      <c r="G184" s="2">
        <f t="shared" si="15"/>
        <v>1.7999830145397421E-2</v>
      </c>
      <c r="H184" s="2">
        <f t="shared" si="14"/>
        <v>1.8343506429388587</v>
      </c>
    </row>
    <row r="185" spans="1:8">
      <c r="A185" t="s">
        <v>17</v>
      </c>
      <c r="B185">
        <v>4</v>
      </c>
      <c r="C185" s="2">
        <v>0.73882000000000003</v>
      </c>
      <c r="D185" s="2">
        <v>0.83245000000000002</v>
      </c>
      <c r="E185" s="2">
        <f t="shared" si="13"/>
        <v>9.3629999999999991E-2</v>
      </c>
      <c r="F185" s="2">
        <f t="shared" si="18"/>
        <v>3.3018000000000013E-2</v>
      </c>
      <c r="G185" s="2">
        <f t="shared" si="15"/>
        <v>1.7999830145397421E-2</v>
      </c>
      <c r="H185" s="2">
        <f t="shared" si="14"/>
        <v>1.8343506429388587</v>
      </c>
    </row>
    <row r="186" spans="1:8">
      <c r="A186" t="s">
        <v>17</v>
      </c>
      <c r="B186">
        <v>5</v>
      </c>
      <c r="C186" s="2">
        <v>0.71079999999999999</v>
      </c>
      <c r="D186" s="2">
        <v>0.73218000000000005</v>
      </c>
      <c r="E186" s="2">
        <f t="shared" si="13"/>
        <v>2.1380000000000066E-2</v>
      </c>
      <c r="F186" s="2">
        <f t="shared" si="18"/>
        <v>3.3018000000000013E-2</v>
      </c>
      <c r="G186" s="2">
        <f t="shared" si="15"/>
        <v>1.7999830145397421E-2</v>
      </c>
      <c r="H186" s="2">
        <f t="shared" si="14"/>
        <v>1.8343506429388587</v>
      </c>
    </row>
    <row r="187" spans="1:8">
      <c r="A187" t="s">
        <v>17</v>
      </c>
      <c r="B187">
        <v>6</v>
      </c>
      <c r="C187" s="2">
        <v>0.71479999999999999</v>
      </c>
      <c r="D187" s="2">
        <v>0.78985000000000005</v>
      </c>
      <c r="E187" s="2">
        <f t="shared" si="13"/>
        <v>7.5050000000000061E-2</v>
      </c>
      <c r="F187" s="2">
        <f t="shared" si="18"/>
        <v>3.3018000000000013E-2</v>
      </c>
      <c r="G187" s="2">
        <f t="shared" si="15"/>
        <v>1.7999830145397421E-2</v>
      </c>
      <c r="H187" s="2">
        <f t="shared" si="14"/>
        <v>1.8343506429388587</v>
      </c>
    </row>
    <row r="188" spans="1:8">
      <c r="A188" t="s">
        <v>17</v>
      </c>
      <c r="B188">
        <v>7</v>
      </c>
      <c r="C188" s="2">
        <v>0.71367999999999998</v>
      </c>
      <c r="D188" s="2">
        <v>0.69016</v>
      </c>
      <c r="E188" s="2">
        <f t="shared" si="13"/>
        <v>-2.3519999999999985E-2</v>
      </c>
      <c r="F188" s="2">
        <f t="shared" si="18"/>
        <v>3.3018000000000013E-2</v>
      </c>
      <c r="G188" s="2">
        <f t="shared" si="15"/>
        <v>1.7999830145397421E-2</v>
      </c>
      <c r="H188" s="2">
        <f t="shared" si="14"/>
        <v>1.8343506429388587</v>
      </c>
    </row>
    <row r="189" spans="1:8">
      <c r="A189" t="s">
        <v>17</v>
      </c>
      <c r="B189">
        <v>8</v>
      </c>
      <c r="C189" s="2">
        <v>0.72592999999999996</v>
      </c>
      <c r="D189" s="2">
        <v>0.76692000000000005</v>
      </c>
      <c r="E189" s="2">
        <f t="shared" si="13"/>
        <v>4.0990000000000082E-2</v>
      </c>
      <c r="F189" s="2">
        <f t="shared" si="18"/>
        <v>3.3018000000000013E-2</v>
      </c>
      <c r="G189" s="2">
        <f t="shared" si="15"/>
        <v>1.7999830145397421E-2</v>
      </c>
      <c r="H189" s="2">
        <f t="shared" si="14"/>
        <v>1.8343506429388587</v>
      </c>
    </row>
    <row r="190" spans="1:8">
      <c r="A190" t="s">
        <v>17</v>
      </c>
      <c r="B190">
        <v>9</v>
      </c>
      <c r="C190" s="2">
        <v>0.73868999999999996</v>
      </c>
      <c r="D190" s="2">
        <v>0.84936</v>
      </c>
      <c r="E190" s="2">
        <f t="shared" si="13"/>
        <v>0.11067000000000005</v>
      </c>
      <c r="F190" s="2">
        <f t="shared" si="18"/>
        <v>3.3018000000000013E-2</v>
      </c>
      <c r="G190" s="2">
        <f t="shared" si="15"/>
        <v>1.7999830145397421E-2</v>
      </c>
      <c r="H190" s="2">
        <f t="shared" si="14"/>
        <v>1.8343506429388587</v>
      </c>
    </row>
    <row r="191" spans="1:8">
      <c r="A191" t="s">
        <v>17</v>
      </c>
      <c r="B191">
        <v>10</v>
      </c>
      <c r="C191" s="2">
        <v>0.72743999999999998</v>
      </c>
      <c r="D191" s="2">
        <v>0.73436999999999997</v>
      </c>
      <c r="E191" s="2">
        <f t="shared" si="13"/>
        <v>6.9299999999999917E-3</v>
      </c>
      <c r="F191" s="2">
        <f t="shared" si="18"/>
        <v>3.3018000000000013E-2</v>
      </c>
      <c r="G191" s="2">
        <f t="shared" si="15"/>
        <v>1.7999830145397421E-2</v>
      </c>
      <c r="H191" s="2">
        <f t="shared" si="14"/>
        <v>1.8343506429388587</v>
      </c>
    </row>
    <row r="192" spans="1:8">
      <c r="A192" t="s">
        <v>17</v>
      </c>
      <c r="B192">
        <v>11</v>
      </c>
      <c r="C192" s="2">
        <v>0.70340999999999998</v>
      </c>
      <c r="D192" s="2">
        <v>0.76710999999999996</v>
      </c>
      <c r="E192" s="2">
        <f t="shared" si="13"/>
        <v>6.3699999999999979E-2</v>
      </c>
      <c r="F192" s="2">
        <f t="shared" si="18"/>
        <v>3.3018000000000013E-2</v>
      </c>
      <c r="G192" s="2">
        <f t="shared" si="15"/>
        <v>1.7999830145397421E-2</v>
      </c>
      <c r="H192" s="2">
        <f t="shared" si="14"/>
        <v>1.8343506429388587</v>
      </c>
    </row>
    <row r="193" spans="1:8">
      <c r="A193" t="s">
        <v>17</v>
      </c>
      <c r="B193">
        <v>12</v>
      </c>
      <c r="C193" s="2">
        <v>0.72118000000000004</v>
      </c>
      <c r="D193" s="2">
        <v>0.68579000000000001</v>
      </c>
      <c r="E193" s="2">
        <f t="shared" si="13"/>
        <v>-3.5390000000000033E-2</v>
      </c>
      <c r="F193" s="2">
        <f t="shared" si="18"/>
        <v>3.3018000000000013E-2</v>
      </c>
      <c r="G193" s="2">
        <f t="shared" si="15"/>
        <v>1.7999830145397421E-2</v>
      </c>
      <c r="H193" s="2">
        <f t="shared" si="14"/>
        <v>1.8343506429388587</v>
      </c>
    </row>
    <row r="194" spans="1:8">
      <c r="A194" t="s">
        <v>17</v>
      </c>
      <c r="B194">
        <v>13</v>
      </c>
      <c r="C194" s="2">
        <v>0.70342000000000005</v>
      </c>
      <c r="D194" s="2">
        <v>0.78517999999999999</v>
      </c>
      <c r="E194" s="2">
        <f t="shared" ref="E194:E257" si="19">D194-C194</f>
        <v>8.1759999999999944E-2</v>
      </c>
      <c r="F194" s="2">
        <f t="shared" si="18"/>
        <v>3.3018000000000013E-2</v>
      </c>
      <c r="G194" s="2">
        <f t="shared" si="15"/>
        <v>1.7999830145397421E-2</v>
      </c>
      <c r="H194" s="2">
        <f t="shared" ref="H194:H257" si="20">F194/G194</f>
        <v>1.8343506429388587</v>
      </c>
    </row>
    <row r="195" spans="1:8">
      <c r="A195" t="s">
        <v>17</v>
      </c>
      <c r="B195">
        <v>14</v>
      </c>
      <c r="C195" s="2">
        <v>0.73080999999999996</v>
      </c>
      <c r="D195" s="2">
        <v>0.76097000000000004</v>
      </c>
      <c r="E195" s="2">
        <f t="shared" si="19"/>
        <v>3.0160000000000076E-2</v>
      </c>
      <c r="F195" s="2">
        <f t="shared" si="18"/>
        <v>3.3018000000000013E-2</v>
      </c>
      <c r="G195" s="2">
        <f t="shared" ref="G195:G221" si="21">_xlfn.STDEV.S($E$2:$E$21)</f>
        <v>1.7999830145397421E-2</v>
      </c>
      <c r="H195" s="2">
        <f t="shared" si="20"/>
        <v>1.8343506429388587</v>
      </c>
    </row>
    <row r="196" spans="1:8">
      <c r="A196" t="s">
        <v>17</v>
      </c>
      <c r="B196">
        <v>15</v>
      </c>
      <c r="C196" s="2">
        <v>0.73419000000000001</v>
      </c>
      <c r="D196" s="2">
        <v>0.83247000000000004</v>
      </c>
      <c r="E196" s="2">
        <f t="shared" si="19"/>
        <v>9.8280000000000034E-2</v>
      </c>
      <c r="F196" s="2">
        <f t="shared" si="18"/>
        <v>3.3018000000000013E-2</v>
      </c>
      <c r="G196" s="2">
        <f t="shared" si="21"/>
        <v>1.7999830145397421E-2</v>
      </c>
      <c r="H196" s="2">
        <f t="shared" si="20"/>
        <v>1.8343506429388587</v>
      </c>
    </row>
    <row r="197" spans="1:8">
      <c r="A197" t="s">
        <v>17</v>
      </c>
      <c r="B197">
        <v>16</v>
      </c>
      <c r="C197" s="2">
        <v>0.73182000000000003</v>
      </c>
      <c r="D197" s="2">
        <v>0.71862000000000004</v>
      </c>
      <c r="E197" s="2">
        <f t="shared" si="19"/>
        <v>-1.319999999999999E-2</v>
      </c>
      <c r="F197" s="2">
        <f t="shared" si="18"/>
        <v>3.3018000000000013E-2</v>
      </c>
      <c r="G197" s="2">
        <f t="shared" si="21"/>
        <v>1.7999830145397421E-2</v>
      </c>
      <c r="H197" s="2">
        <f t="shared" si="20"/>
        <v>1.8343506429388587</v>
      </c>
    </row>
    <row r="198" spans="1:8">
      <c r="A198" t="s">
        <v>17</v>
      </c>
      <c r="B198">
        <v>17</v>
      </c>
      <c r="C198" s="2">
        <v>0.72292999999999996</v>
      </c>
      <c r="D198" s="2">
        <v>0.77217999999999998</v>
      </c>
      <c r="E198" s="2">
        <f t="shared" si="19"/>
        <v>4.9250000000000016E-2</v>
      </c>
      <c r="F198" s="2">
        <f t="shared" si="18"/>
        <v>3.3018000000000013E-2</v>
      </c>
      <c r="G198" s="2">
        <f t="shared" si="21"/>
        <v>1.7999830145397421E-2</v>
      </c>
      <c r="H198" s="2">
        <f t="shared" si="20"/>
        <v>1.8343506429388587</v>
      </c>
    </row>
    <row r="199" spans="1:8">
      <c r="A199" t="s">
        <v>17</v>
      </c>
      <c r="B199">
        <v>18</v>
      </c>
      <c r="C199" s="2">
        <v>0.71028999999999998</v>
      </c>
      <c r="D199" s="2">
        <v>0.66664999999999996</v>
      </c>
      <c r="E199" s="2">
        <f t="shared" si="19"/>
        <v>-4.3640000000000012E-2</v>
      </c>
      <c r="F199" s="2">
        <f t="shared" si="18"/>
        <v>3.3018000000000013E-2</v>
      </c>
      <c r="G199" s="2">
        <f t="shared" si="21"/>
        <v>1.7999830145397421E-2</v>
      </c>
      <c r="H199" s="2">
        <f t="shared" si="20"/>
        <v>1.8343506429388587</v>
      </c>
    </row>
    <row r="200" spans="1:8">
      <c r="A200" t="s">
        <v>17</v>
      </c>
      <c r="B200">
        <v>19</v>
      </c>
      <c r="C200" s="2">
        <v>0.71931</v>
      </c>
      <c r="D200" s="2">
        <v>0.78868000000000005</v>
      </c>
      <c r="E200" s="2">
        <f t="shared" si="19"/>
        <v>6.9370000000000043E-2</v>
      </c>
      <c r="F200" s="2">
        <f t="shared" si="18"/>
        <v>3.3018000000000013E-2</v>
      </c>
      <c r="G200" s="2">
        <f t="shared" si="21"/>
        <v>1.7999830145397421E-2</v>
      </c>
      <c r="H200" s="2">
        <f t="shared" si="20"/>
        <v>1.8343506429388587</v>
      </c>
    </row>
    <row r="201" spans="1:8">
      <c r="A201" t="s">
        <v>17</v>
      </c>
      <c r="B201">
        <v>20</v>
      </c>
      <c r="C201" s="2">
        <v>0.70140999999999998</v>
      </c>
      <c r="D201" s="2">
        <v>0.73826999999999998</v>
      </c>
      <c r="E201" s="2">
        <f t="shared" si="19"/>
        <v>3.6860000000000004E-2</v>
      </c>
      <c r="F201" s="2">
        <f t="shared" si="18"/>
        <v>3.3018000000000013E-2</v>
      </c>
      <c r="G201" s="2">
        <f t="shared" si="21"/>
        <v>1.7999830145397421E-2</v>
      </c>
      <c r="H201" s="2">
        <f t="shared" si="20"/>
        <v>1.8343506429388587</v>
      </c>
    </row>
    <row r="202" spans="1:8">
      <c r="A202" t="s">
        <v>18</v>
      </c>
      <c r="B202">
        <v>1</v>
      </c>
      <c r="C202" s="2">
        <v>0.74743999999999999</v>
      </c>
      <c r="D202" s="2">
        <v>0.71109999999999995</v>
      </c>
      <c r="E202" s="2">
        <f t="shared" si="19"/>
        <v>-3.6340000000000039E-2</v>
      </c>
      <c r="F202" s="2">
        <f t="shared" ref="F202:F221" si="22">AVERAGE($E$202:$E$221)</f>
        <v>5.4590000000000007E-2</v>
      </c>
      <c r="G202" s="2">
        <f t="shared" si="21"/>
        <v>1.7999830145397421E-2</v>
      </c>
      <c r="H202" s="2">
        <f t="shared" si="20"/>
        <v>3.0328063964513987</v>
      </c>
    </row>
    <row r="203" spans="1:8">
      <c r="A203" t="s">
        <v>18</v>
      </c>
      <c r="B203">
        <v>2</v>
      </c>
      <c r="C203" s="2">
        <v>0.72341</v>
      </c>
      <c r="D203" s="2">
        <v>0.80145999999999995</v>
      </c>
      <c r="E203" s="2">
        <f t="shared" si="19"/>
        <v>7.8049999999999953E-2</v>
      </c>
      <c r="F203" s="2">
        <f t="shared" si="22"/>
        <v>5.4590000000000007E-2</v>
      </c>
      <c r="G203" s="2">
        <f t="shared" si="21"/>
        <v>1.7999830145397421E-2</v>
      </c>
      <c r="H203" s="2">
        <f t="shared" si="20"/>
        <v>3.0328063964513987</v>
      </c>
    </row>
    <row r="204" spans="1:8">
      <c r="A204" t="s">
        <v>18</v>
      </c>
      <c r="B204">
        <v>3</v>
      </c>
      <c r="C204" s="2">
        <v>0.73517999999999994</v>
      </c>
      <c r="D204" s="2">
        <v>0.74912999999999996</v>
      </c>
      <c r="E204" s="2">
        <f t="shared" si="19"/>
        <v>1.3950000000000018E-2</v>
      </c>
      <c r="F204" s="2">
        <f t="shared" si="22"/>
        <v>5.4590000000000007E-2</v>
      </c>
      <c r="G204" s="2">
        <f t="shared" si="21"/>
        <v>1.7999830145397421E-2</v>
      </c>
      <c r="H204" s="2">
        <f t="shared" si="20"/>
        <v>3.0328063964513987</v>
      </c>
    </row>
    <row r="205" spans="1:8">
      <c r="A205" t="s">
        <v>18</v>
      </c>
      <c r="B205">
        <v>4</v>
      </c>
      <c r="C205" s="2">
        <v>0.72341999999999995</v>
      </c>
      <c r="D205" s="2">
        <v>0.84291000000000005</v>
      </c>
      <c r="E205" s="2">
        <f t="shared" si="19"/>
        <v>0.1194900000000001</v>
      </c>
      <c r="F205" s="2">
        <f t="shared" si="22"/>
        <v>5.4590000000000007E-2</v>
      </c>
      <c r="G205" s="2">
        <f t="shared" si="21"/>
        <v>1.7999830145397421E-2</v>
      </c>
      <c r="H205" s="2">
        <f t="shared" si="20"/>
        <v>3.0328063964513987</v>
      </c>
    </row>
    <row r="206" spans="1:8">
      <c r="A206" t="s">
        <v>18</v>
      </c>
      <c r="B206">
        <v>5</v>
      </c>
      <c r="C206" s="2">
        <v>0.75080999999999998</v>
      </c>
      <c r="D206" s="2">
        <v>0.79293999999999998</v>
      </c>
      <c r="E206" s="2">
        <f t="shared" si="19"/>
        <v>4.2130000000000001E-2</v>
      </c>
      <c r="F206" s="2">
        <f t="shared" si="22"/>
        <v>5.4590000000000007E-2</v>
      </c>
      <c r="G206" s="2">
        <f t="shared" si="21"/>
        <v>1.7999830145397421E-2</v>
      </c>
      <c r="H206" s="2">
        <f t="shared" si="20"/>
        <v>3.0328063964513987</v>
      </c>
    </row>
    <row r="207" spans="1:8">
      <c r="A207" t="s">
        <v>18</v>
      </c>
      <c r="B207">
        <v>6</v>
      </c>
      <c r="C207" s="2">
        <v>0.74819000000000002</v>
      </c>
      <c r="D207" s="2">
        <v>0.84779000000000004</v>
      </c>
      <c r="E207" s="2">
        <f t="shared" si="19"/>
        <v>9.9600000000000022E-2</v>
      </c>
      <c r="F207" s="2">
        <f t="shared" si="22"/>
        <v>5.4590000000000007E-2</v>
      </c>
      <c r="G207" s="2">
        <f t="shared" si="21"/>
        <v>1.7999830145397421E-2</v>
      </c>
      <c r="H207" s="2">
        <f t="shared" si="20"/>
        <v>3.0328063964513987</v>
      </c>
    </row>
    <row r="208" spans="1:8">
      <c r="A208" t="s">
        <v>18</v>
      </c>
      <c r="B208">
        <v>7</v>
      </c>
      <c r="C208" s="2">
        <v>0.75182000000000004</v>
      </c>
      <c r="D208" s="2">
        <v>0.74587000000000003</v>
      </c>
      <c r="E208" s="2">
        <f t="shared" si="19"/>
        <v>-5.9500000000000108E-3</v>
      </c>
      <c r="F208" s="2">
        <f t="shared" si="22"/>
        <v>5.4590000000000007E-2</v>
      </c>
      <c r="G208" s="2">
        <f t="shared" si="21"/>
        <v>1.7999830145397421E-2</v>
      </c>
      <c r="H208" s="2">
        <f t="shared" si="20"/>
        <v>3.0328063964513987</v>
      </c>
    </row>
    <row r="209" spans="1:8">
      <c r="A209" t="s">
        <v>18</v>
      </c>
      <c r="B209">
        <v>8</v>
      </c>
      <c r="C209" s="2">
        <v>0.74292999999999998</v>
      </c>
      <c r="D209" s="2">
        <v>0.80606</v>
      </c>
      <c r="E209" s="2">
        <f t="shared" si="19"/>
        <v>6.3130000000000019E-2</v>
      </c>
      <c r="F209" s="2">
        <f t="shared" si="22"/>
        <v>5.4590000000000007E-2</v>
      </c>
      <c r="G209" s="2">
        <f t="shared" si="21"/>
        <v>1.7999830145397421E-2</v>
      </c>
      <c r="H209" s="2">
        <f t="shared" si="20"/>
        <v>3.0328063964513987</v>
      </c>
    </row>
    <row r="210" spans="1:8">
      <c r="A210" t="s">
        <v>18</v>
      </c>
      <c r="B210">
        <v>9</v>
      </c>
      <c r="C210" s="2">
        <v>0.72428999999999999</v>
      </c>
      <c r="D210" s="2">
        <v>0.86202000000000001</v>
      </c>
      <c r="E210" s="2">
        <f t="shared" si="19"/>
        <v>0.13773000000000002</v>
      </c>
      <c r="F210" s="2">
        <f t="shared" si="22"/>
        <v>5.4590000000000007E-2</v>
      </c>
      <c r="G210" s="2">
        <f t="shared" si="21"/>
        <v>1.7999830145397421E-2</v>
      </c>
      <c r="H210" s="2">
        <f t="shared" si="20"/>
        <v>3.0328063964513987</v>
      </c>
    </row>
    <row r="211" spans="1:8">
      <c r="A211" t="s">
        <v>18</v>
      </c>
      <c r="B211">
        <v>10</v>
      </c>
      <c r="C211" s="2">
        <v>0.73931000000000002</v>
      </c>
      <c r="D211" s="2">
        <v>0.76595999999999997</v>
      </c>
      <c r="E211" s="2">
        <f t="shared" si="19"/>
        <v>2.6649999999999952E-2</v>
      </c>
      <c r="F211" s="2">
        <f t="shared" si="22"/>
        <v>5.4590000000000007E-2</v>
      </c>
      <c r="G211" s="2">
        <f t="shared" si="21"/>
        <v>1.7999830145397421E-2</v>
      </c>
      <c r="H211" s="2">
        <f t="shared" si="20"/>
        <v>3.0328063964513987</v>
      </c>
    </row>
    <row r="212" spans="1:8">
      <c r="A212" t="s">
        <v>18</v>
      </c>
      <c r="B212">
        <v>11</v>
      </c>
      <c r="C212" s="2">
        <v>0.72141</v>
      </c>
      <c r="D212" s="2">
        <v>0.80884999999999996</v>
      </c>
      <c r="E212" s="2">
        <f t="shared" si="19"/>
        <v>8.7439999999999962E-2</v>
      </c>
      <c r="F212" s="2">
        <f t="shared" si="22"/>
        <v>5.4590000000000007E-2</v>
      </c>
      <c r="G212" s="2">
        <f t="shared" si="21"/>
        <v>1.7999830145397421E-2</v>
      </c>
      <c r="H212" s="2">
        <f t="shared" si="20"/>
        <v>3.0328063964513987</v>
      </c>
    </row>
    <row r="213" spans="1:8">
      <c r="A213" t="s">
        <v>18</v>
      </c>
      <c r="B213">
        <v>12</v>
      </c>
      <c r="C213" s="2">
        <v>0.73992999999999998</v>
      </c>
      <c r="D213" s="2">
        <v>0.72128000000000003</v>
      </c>
      <c r="E213" s="2">
        <f t="shared" si="19"/>
        <v>-1.8649999999999944E-2</v>
      </c>
      <c r="F213" s="2">
        <f t="shared" si="22"/>
        <v>5.4590000000000007E-2</v>
      </c>
      <c r="G213" s="2">
        <f t="shared" si="21"/>
        <v>1.7999830145397421E-2</v>
      </c>
      <c r="H213" s="2">
        <f t="shared" si="20"/>
        <v>3.0328063964513987</v>
      </c>
    </row>
    <row r="214" spans="1:8">
      <c r="A214" t="s">
        <v>18</v>
      </c>
      <c r="B214">
        <v>13</v>
      </c>
      <c r="C214" s="2">
        <v>0.75582000000000005</v>
      </c>
      <c r="D214" s="2">
        <v>0.86260000000000003</v>
      </c>
      <c r="E214" s="2">
        <f t="shared" si="19"/>
        <v>0.10677999999999999</v>
      </c>
      <c r="F214" s="2">
        <f t="shared" si="22"/>
        <v>5.4590000000000007E-2</v>
      </c>
      <c r="G214" s="2">
        <f t="shared" si="21"/>
        <v>1.7999830145397421E-2</v>
      </c>
      <c r="H214" s="2">
        <f t="shared" si="20"/>
        <v>3.0328063964513987</v>
      </c>
    </row>
    <row r="215" spans="1:8">
      <c r="A215" t="s">
        <v>18</v>
      </c>
      <c r="B215">
        <v>14</v>
      </c>
      <c r="C215" s="2">
        <v>0.74731000000000003</v>
      </c>
      <c r="D215" s="2">
        <v>0.79883000000000004</v>
      </c>
      <c r="E215" s="2">
        <f t="shared" si="19"/>
        <v>5.152000000000001E-2</v>
      </c>
      <c r="F215" s="2">
        <f t="shared" si="22"/>
        <v>5.4590000000000007E-2</v>
      </c>
      <c r="G215" s="2">
        <f t="shared" si="21"/>
        <v>1.7999830145397421E-2</v>
      </c>
      <c r="H215" s="2">
        <f t="shared" si="20"/>
        <v>3.0328063964513987</v>
      </c>
    </row>
    <row r="216" spans="1:8">
      <c r="A216" t="s">
        <v>18</v>
      </c>
      <c r="B216">
        <v>15</v>
      </c>
      <c r="C216" s="2">
        <v>0.75682000000000005</v>
      </c>
      <c r="D216" s="2">
        <v>0.88129000000000002</v>
      </c>
      <c r="E216" s="2">
        <f t="shared" si="19"/>
        <v>0.12446999999999997</v>
      </c>
      <c r="F216" s="2">
        <f t="shared" si="22"/>
        <v>5.4590000000000007E-2</v>
      </c>
      <c r="G216" s="2">
        <f t="shared" si="21"/>
        <v>1.7999830145397421E-2</v>
      </c>
      <c r="H216" s="2">
        <f t="shared" si="20"/>
        <v>3.0328063964513987</v>
      </c>
    </row>
    <row r="217" spans="1:8">
      <c r="A217" t="s">
        <v>18</v>
      </c>
      <c r="B217">
        <v>16</v>
      </c>
      <c r="C217" s="2">
        <v>0.7288</v>
      </c>
      <c r="D217" s="2">
        <v>0.7339</v>
      </c>
      <c r="E217" s="2">
        <f t="shared" si="19"/>
        <v>5.0999999999999934E-3</v>
      </c>
      <c r="F217" s="2">
        <f t="shared" si="22"/>
        <v>5.4590000000000007E-2</v>
      </c>
      <c r="G217" s="2">
        <f t="shared" si="21"/>
        <v>1.7999830145397421E-2</v>
      </c>
      <c r="H217" s="2">
        <f t="shared" si="20"/>
        <v>3.0328063964513987</v>
      </c>
    </row>
    <row r="218" spans="1:8">
      <c r="A218" t="s">
        <v>18</v>
      </c>
      <c r="B218">
        <v>17</v>
      </c>
      <c r="C218" s="2">
        <v>0.73280000000000001</v>
      </c>
      <c r="D218" s="2">
        <v>0.80476999999999999</v>
      </c>
      <c r="E218" s="2">
        <f t="shared" si="19"/>
        <v>7.1969999999999978E-2</v>
      </c>
      <c r="F218" s="2">
        <f t="shared" si="22"/>
        <v>5.4590000000000007E-2</v>
      </c>
      <c r="G218" s="2">
        <f t="shared" si="21"/>
        <v>1.7999830145397421E-2</v>
      </c>
      <c r="H218" s="2">
        <f t="shared" si="20"/>
        <v>3.0328063964513987</v>
      </c>
    </row>
    <row r="219" spans="1:8">
      <c r="A219" t="s">
        <v>18</v>
      </c>
      <c r="B219">
        <v>18</v>
      </c>
      <c r="C219" s="2">
        <v>0.73168</v>
      </c>
      <c r="D219" s="2">
        <v>0.70418000000000003</v>
      </c>
      <c r="E219" s="2">
        <f t="shared" si="19"/>
        <v>-2.7499999999999969E-2</v>
      </c>
      <c r="F219" s="2">
        <f t="shared" si="22"/>
        <v>5.4590000000000007E-2</v>
      </c>
      <c r="G219" s="2">
        <f t="shared" si="21"/>
        <v>1.7999830145397421E-2</v>
      </c>
      <c r="H219" s="2">
        <f t="shared" si="20"/>
        <v>3.0328063964513987</v>
      </c>
    </row>
    <row r="220" spans="1:8">
      <c r="A220" t="s">
        <v>18</v>
      </c>
      <c r="B220">
        <v>19</v>
      </c>
      <c r="C220" s="2">
        <v>0.74392999999999998</v>
      </c>
      <c r="D220" s="2">
        <v>0.83745000000000003</v>
      </c>
      <c r="E220" s="2">
        <f t="shared" si="19"/>
        <v>9.3520000000000048E-2</v>
      </c>
      <c r="F220" s="2">
        <f t="shared" si="22"/>
        <v>5.4590000000000007E-2</v>
      </c>
      <c r="G220" s="2">
        <f t="shared" si="21"/>
        <v>1.7999830145397421E-2</v>
      </c>
      <c r="H220" s="2">
        <f t="shared" si="20"/>
        <v>3.0328063964513987</v>
      </c>
    </row>
    <row r="221" spans="1:8">
      <c r="A221" t="s">
        <v>18</v>
      </c>
      <c r="B221">
        <v>20</v>
      </c>
      <c r="C221" s="2">
        <v>0.75668999999999997</v>
      </c>
      <c r="D221" s="2">
        <v>0.81540000000000001</v>
      </c>
      <c r="E221" s="2">
        <f t="shared" si="19"/>
        <v>5.871000000000004E-2</v>
      </c>
      <c r="F221" s="2">
        <f t="shared" si="22"/>
        <v>5.4590000000000007E-2</v>
      </c>
      <c r="G221" s="2">
        <f t="shared" si="21"/>
        <v>1.7999830145397421E-2</v>
      </c>
      <c r="H221" s="2">
        <f t="shared" si="20"/>
        <v>3.0328063964513987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workbookViewId="0">
      <selection activeCell="C22" sqref="C22"/>
    </sheetView>
  </sheetViews>
  <sheetFormatPr defaultRowHeight="14.25"/>
  <cols>
    <col min="1" max="1" width="31" customWidth="1"/>
    <col min="2" max="5" width="18" customWidth="1"/>
  </cols>
  <sheetData>
    <row r="1" spans="1:9" ht="30">
      <c r="A1" s="1" t="s">
        <v>0</v>
      </c>
      <c r="B1" s="1" t="s">
        <v>19</v>
      </c>
      <c r="C1" s="1" t="s">
        <v>5</v>
      </c>
      <c r="D1" s="1" t="s">
        <v>6</v>
      </c>
      <c r="E1" s="1" t="s">
        <v>20</v>
      </c>
      <c r="F1" s="1"/>
      <c r="G1" s="1"/>
      <c r="H1" s="1"/>
      <c r="I1" s="1"/>
    </row>
    <row r="2" spans="1:9">
      <c r="A2" t="s">
        <v>8</v>
      </c>
      <c r="B2" s="2">
        <v>0.90200000000000002</v>
      </c>
      <c r="C2" s="2">
        <f>AVERAGE(Results_Table16!E2:E21)</f>
        <v>1.6236999999999984E-2</v>
      </c>
      <c r="D2" s="2">
        <f>_xlfn.STDEV.S(Results_Table16!E2:E21)</f>
        <v>1.7999830145397421E-2</v>
      </c>
      <c r="E2" s="2">
        <f t="shared" ref="E2:E12" si="0">C2/D2</f>
        <v>0.90206406776298409</v>
      </c>
    </row>
    <row r="3" spans="1:9">
      <c r="A3" t="s">
        <v>9</v>
      </c>
      <c r="B3" s="2">
        <v>0.88100000000000001</v>
      </c>
      <c r="C3" s="2">
        <f>AVERAGE(Results_Table16!E22:E41)</f>
        <v>1.8942000000000007E-2</v>
      </c>
      <c r="D3" s="2">
        <f>_xlfn.STDEV.S(Results_Table16!E3:E22)</f>
        <v>1.8310217912411629E-2</v>
      </c>
      <c r="E3" s="2">
        <f t="shared" si="0"/>
        <v>1.0345043456397165</v>
      </c>
    </row>
    <row r="4" spans="1:9">
      <c r="A4" t="s">
        <v>10</v>
      </c>
      <c r="B4" s="2">
        <v>0.96499999999999997</v>
      </c>
      <c r="C4" s="2">
        <f>AVERAGE(Results_Table16!E42:E61)</f>
        <v>2.4126000000000009E-2</v>
      </c>
      <c r="D4" s="2">
        <f>_xlfn.STDEV.S(Results_Table16!E4:E23)</f>
        <v>1.8433531346292189E-2</v>
      </c>
      <c r="E4" s="2">
        <f t="shared" si="0"/>
        <v>1.3088105337370872</v>
      </c>
    </row>
    <row r="5" spans="1:9">
      <c r="A5" t="s">
        <v>11</v>
      </c>
      <c r="B5" s="2">
        <v>1.0840000000000001</v>
      </c>
      <c r="C5" s="2">
        <f>AVERAGE(Results_Table16!E62:E81)</f>
        <v>3.0894499999999998E-2</v>
      </c>
      <c r="D5" s="2">
        <f>_xlfn.STDEV.S(Results_Table16!E5:E24)</f>
        <v>1.843234584693583E-2</v>
      </c>
      <c r="E5" s="2">
        <f t="shared" si="0"/>
        <v>1.6761024481935847</v>
      </c>
    </row>
    <row r="6" spans="1:9">
      <c r="A6" t="s">
        <v>12</v>
      </c>
      <c r="B6" s="2">
        <v>0.76300000000000001</v>
      </c>
      <c r="C6" s="2">
        <f>AVERAGE(Results_Table16!E82:E101)</f>
        <v>2.4416000000000004E-2</v>
      </c>
      <c r="D6" s="2">
        <f>_xlfn.STDEV.S(Results_Table16!E6:E25)</f>
        <v>1.8930866329885689E-2</v>
      </c>
      <c r="E6" s="2">
        <f t="shared" si="0"/>
        <v>1.2897455179563055</v>
      </c>
    </row>
    <row r="7" spans="1:9">
      <c r="A7" t="s">
        <v>13</v>
      </c>
      <c r="B7" s="2">
        <v>0.72499999999999998</v>
      </c>
      <c r="C7" s="2">
        <f>AVERAGE(Results_Table16!E102:E121)</f>
        <v>2.573799999999999E-2</v>
      </c>
      <c r="D7" s="2">
        <f>_xlfn.STDEV.S(Results_Table16!E7:E26)</f>
        <v>1.8911429090979814E-2</v>
      </c>
      <c r="E7" s="2">
        <f t="shared" si="0"/>
        <v>1.3609759408545303</v>
      </c>
    </row>
    <row r="8" spans="1:9">
      <c r="A8" t="s">
        <v>14</v>
      </c>
      <c r="B8" s="2">
        <v>0.78400000000000003</v>
      </c>
      <c r="C8" s="2">
        <f>AVERAGE(Results_Table16!E122:E141)</f>
        <v>3.0576499999999986E-2</v>
      </c>
      <c r="D8" s="2">
        <f>_xlfn.STDEV.S(Results_Table16!E8:E27)</f>
        <v>1.9185907074286513E-2</v>
      </c>
      <c r="E8" s="2">
        <f t="shared" si="0"/>
        <v>1.5936958248369431</v>
      </c>
    </row>
    <row r="9" spans="1:9">
      <c r="A9" t="s">
        <v>15</v>
      </c>
      <c r="B9" s="2">
        <v>0.73099999999999998</v>
      </c>
      <c r="C9" s="2">
        <f>AVERAGE(Results_Table16!E142:E161)</f>
        <v>3.1068499999999999E-2</v>
      </c>
      <c r="D9" s="2">
        <f>_xlfn.STDEV.S(Results_Table16!E9:E28)</f>
        <v>1.9263409983970275E-2</v>
      </c>
      <c r="E9" s="2">
        <f t="shared" si="0"/>
        <v>1.6128245220266366</v>
      </c>
    </row>
    <row r="10" spans="1:9">
      <c r="A10" t="s">
        <v>16</v>
      </c>
      <c r="B10" s="2">
        <v>0.64500000000000002</v>
      </c>
      <c r="C10" s="2">
        <f>AVERAGE(Results_Table16!E162:E181)</f>
        <v>2.9670500000000009E-2</v>
      </c>
      <c r="D10" s="2">
        <f>_xlfn.STDEV.S(Results_Table16!E10:E29)</f>
        <v>1.9296753006113408E-2</v>
      </c>
      <c r="E10" s="2">
        <f t="shared" si="0"/>
        <v>1.5375902873711496</v>
      </c>
    </row>
    <row r="11" spans="1:9">
      <c r="A11" t="s">
        <v>17</v>
      </c>
      <c r="B11" s="2">
        <v>0.66700000000000004</v>
      </c>
      <c r="C11" s="2">
        <f>AVERAGE(Results_Table16!E182:E201)</f>
        <v>3.3018000000000013E-2</v>
      </c>
      <c r="D11" s="2">
        <f>_xlfn.STDEV.S(Results_Table16!E11:E30)</f>
        <v>1.9982817856190445E-2</v>
      </c>
      <c r="E11" s="2">
        <f t="shared" si="0"/>
        <v>1.6523195195802387</v>
      </c>
    </row>
    <row r="12" spans="1:9">
      <c r="A12" t="s">
        <v>18</v>
      </c>
      <c r="B12" s="2">
        <v>1.03</v>
      </c>
      <c r="C12" s="2">
        <f>AVERAGE(Results_Table16!E202:E221)</f>
        <v>5.4590000000000007E-2</v>
      </c>
      <c r="D12" s="2">
        <f>_xlfn.STDEV.S(Results_Table16!E12:E31)</f>
        <v>1.9959331915831133E-2</v>
      </c>
      <c r="E12" s="2">
        <f t="shared" si="0"/>
        <v>2.7350614855350384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Results_Table16</vt:lpstr>
      <vt:lpstr>Table16_Summary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Inzamam Mashood Nasir</cp:lastModifiedBy>
  <dcterms:modified xsi:type="dcterms:W3CDTF">2026-09-26T18:32:09Z</dcterms:modified>
</cp:coreProperties>
</file>