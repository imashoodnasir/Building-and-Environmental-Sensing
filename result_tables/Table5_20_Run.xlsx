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BC76E79A-3CD6-4189-927A-67D436DBBF4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5" sheetId="1" r:id="rId1"/>
    <sheet name="Table5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2" i="1"/>
  <c r="C13" i="2"/>
  <c r="F12" i="2"/>
  <c r="E12" i="2"/>
  <c r="D12" i="2"/>
  <c r="C12" i="2"/>
  <c r="H11" i="2"/>
  <c r="AB73" i="1"/>
  <c r="AA73" i="1"/>
  <c r="X73" i="1"/>
  <c r="AB72" i="1"/>
  <c r="AA72" i="1"/>
  <c r="X72" i="1"/>
  <c r="AB71" i="1"/>
  <c r="AA71" i="1"/>
  <c r="X71" i="1"/>
  <c r="AB70" i="1"/>
  <c r="AA70" i="1"/>
  <c r="X70" i="1"/>
  <c r="AB69" i="1"/>
  <c r="AA69" i="1"/>
  <c r="X69" i="1"/>
  <c r="AB68" i="1"/>
  <c r="AA68" i="1"/>
  <c r="X68" i="1"/>
  <c r="AB67" i="1"/>
  <c r="AA67" i="1"/>
  <c r="X67" i="1"/>
  <c r="H12" i="2" s="1"/>
  <c r="AB66" i="1"/>
  <c r="AA66" i="1"/>
  <c r="G12" i="2"/>
  <c r="X66" i="1"/>
  <c r="AB65" i="1"/>
  <c r="AA65" i="1"/>
  <c r="X65" i="1"/>
  <c r="AB64" i="1"/>
  <c r="AA64" i="1"/>
  <c r="X64" i="1"/>
  <c r="AB63" i="1"/>
  <c r="AA63" i="1"/>
  <c r="Z63" i="1"/>
  <c r="X63" i="1"/>
  <c r="AB62" i="1"/>
  <c r="AA62" i="1"/>
  <c r="X62" i="1"/>
  <c r="AB61" i="1"/>
  <c r="AA61" i="1"/>
  <c r="X61" i="1"/>
  <c r="AB60" i="1"/>
  <c r="AA60" i="1"/>
  <c r="X60" i="1"/>
  <c r="G11" i="2" s="1"/>
  <c r="AB59" i="1"/>
  <c r="AA59" i="1"/>
  <c r="Z59" i="1"/>
  <c r="X59" i="1"/>
  <c r="F11" i="2" s="1"/>
  <c r="AB58" i="1"/>
  <c r="AA58" i="1"/>
  <c r="X58" i="1"/>
  <c r="E11" i="2" s="1"/>
  <c r="AB57" i="1"/>
  <c r="AA57" i="1"/>
  <c r="X57" i="1"/>
  <c r="AB56" i="1"/>
  <c r="AA56" i="1"/>
  <c r="X56" i="1"/>
  <c r="C11" i="2" s="1"/>
  <c r="AB55" i="1"/>
  <c r="AA55" i="1"/>
  <c r="Z55" i="1"/>
  <c r="X55" i="1"/>
  <c r="AB54" i="1"/>
  <c r="AA54" i="1"/>
  <c r="X54" i="1"/>
  <c r="G10" i="2" s="1"/>
  <c r="AB53" i="1"/>
  <c r="AA53" i="1"/>
  <c r="Z53" i="1"/>
  <c r="X53" i="1"/>
  <c r="F10" i="2" s="1"/>
  <c r="AB52" i="1"/>
  <c r="AA52" i="1"/>
  <c r="X52" i="1"/>
  <c r="E10" i="2" s="1"/>
  <c r="AB51" i="1"/>
  <c r="AA51" i="1"/>
  <c r="X51" i="1"/>
  <c r="AB50" i="1"/>
  <c r="AA50" i="1"/>
  <c r="X50" i="1"/>
  <c r="C10" i="2" s="1"/>
  <c r="AB49" i="1"/>
  <c r="AA49" i="1"/>
  <c r="X49" i="1"/>
  <c r="H9" i="2" s="1"/>
  <c r="AB48" i="1"/>
  <c r="AA48" i="1"/>
  <c r="X48" i="1"/>
  <c r="AB47" i="1"/>
  <c r="AA47" i="1"/>
  <c r="X47" i="1"/>
  <c r="F9" i="2" s="1"/>
  <c r="AB46" i="1"/>
  <c r="AA46" i="1"/>
  <c r="Z46" i="1"/>
  <c r="X46" i="1"/>
  <c r="AB45" i="1"/>
  <c r="AA45" i="1"/>
  <c r="X45" i="1"/>
  <c r="D9" i="2" s="1"/>
  <c r="AB44" i="1"/>
  <c r="AA44" i="1"/>
  <c r="X44" i="1"/>
  <c r="AB43" i="1"/>
  <c r="AA43" i="1"/>
  <c r="X43" i="1"/>
  <c r="H8" i="2" s="1"/>
  <c r="AB42" i="1"/>
  <c r="AA42" i="1"/>
  <c r="Z42" i="1"/>
  <c r="X42" i="1"/>
  <c r="G8" i="2" s="1"/>
  <c r="AB41" i="1"/>
  <c r="AA41" i="1"/>
  <c r="Z41" i="1"/>
  <c r="X41" i="1"/>
  <c r="F8" i="2" s="1"/>
  <c r="AB40" i="1"/>
  <c r="AA40" i="1"/>
  <c r="X40" i="1"/>
  <c r="E8" i="2" s="1"/>
  <c r="AB39" i="1"/>
  <c r="AA39" i="1"/>
  <c r="Z39" i="1"/>
  <c r="X39" i="1"/>
  <c r="D8" i="2" s="1"/>
  <c r="AB38" i="1"/>
  <c r="AA38" i="1"/>
  <c r="X38" i="1"/>
  <c r="C8" i="2" s="1"/>
  <c r="AB37" i="1"/>
  <c r="AA37" i="1"/>
  <c r="X37" i="1"/>
  <c r="H7" i="2" s="1"/>
  <c r="AB36" i="1"/>
  <c r="AA36" i="1"/>
  <c r="Z36" i="1"/>
  <c r="X36" i="1"/>
  <c r="G7" i="2" s="1"/>
  <c r="AB35" i="1"/>
  <c r="AA35" i="1"/>
  <c r="Z35" i="1"/>
  <c r="X35" i="1"/>
  <c r="F7" i="2" s="1"/>
  <c r="AB34" i="1"/>
  <c r="AA34" i="1"/>
  <c r="Z34" i="1"/>
  <c r="X34" i="1"/>
  <c r="E7" i="2" s="1"/>
  <c r="AB33" i="1"/>
  <c r="AA33" i="1"/>
  <c r="Z33" i="1"/>
  <c r="X33" i="1"/>
  <c r="D7" i="2" s="1"/>
  <c r="AB32" i="1"/>
  <c r="AA32" i="1"/>
  <c r="Z32" i="1"/>
  <c r="X32" i="1"/>
  <c r="AB31" i="1"/>
  <c r="AA31" i="1"/>
  <c r="Z31" i="1"/>
  <c r="X31" i="1"/>
  <c r="H6" i="2" s="1"/>
  <c r="AB30" i="1"/>
  <c r="AA30" i="1"/>
  <c r="Z30" i="1"/>
  <c r="X30" i="1"/>
  <c r="G6" i="2" s="1"/>
  <c r="AB29" i="1"/>
  <c r="AA29" i="1"/>
  <c r="X29" i="1"/>
  <c r="F6" i="2" s="1"/>
  <c r="AB28" i="1"/>
  <c r="AA28" i="1"/>
  <c r="X28" i="1"/>
  <c r="E6" i="2" s="1"/>
  <c r="AB27" i="1"/>
  <c r="AA27" i="1"/>
  <c r="Z27" i="1"/>
  <c r="X27" i="1"/>
  <c r="D6" i="2" s="1"/>
  <c r="AB26" i="1"/>
  <c r="AA26" i="1"/>
  <c r="Z26" i="1"/>
  <c r="X26" i="1"/>
  <c r="AB25" i="1"/>
  <c r="AA25" i="1"/>
  <c r="Z25" i="1"/>
  <c r="X25" i="1"/>
  <c r="AB24" i="1"/>
  <c r="AA24" i="1"/>
  <c r="X24" i="1"/>
  <c r="G5" i="2" s="1"/>
  <c r="AB23" i="1"/>
  <c r="AA23" i="1"/>
  <c r="X23" i="1"/>
  <c r="F5" i="2" s="1"/>
  <c r="AB22" i="1"/>
  <c r="AA22" i="1"/>
  <c r="X22" i="1"/>
  <c r="E5" i="2" s="1"/>
  <c r="AB21" i="1"/>
  <c r="AA21" i="1"/>
  <c r="Z21" i="1"/>
  <c r="X21" i="1"/>
  <c r="D5" i="2" s="1"/>
  <c r="AB20" i="1"/>
  <c r="AA20" i="1"/>
  <c r="X20" i="1"/>
  <c r="C5" i="2" s="1"/>
  <c r="AB19" i="1"/>
  <c r="AA19" i="1"/>
  <c r="Z19" i="1"/>
  <c r="X19" i="1"/>
  <c r="H4" i="2" s="1"/>
  <c r="AB18" i="1"/>
  <c r="AA18" i="1"/>
  <c r="Z18" i="1"/>
  <c r="X18" i="1"/>
  <c r="AB17" i="1"/>
  <c r="AA17" i="1"/>
  <c r="X17" i="1"/>
  <c r="F4" i="2" s="1"/>
  <c r="AB16" i="1"/>
  <c r="AA16" i="1"/>
  <c r="X16" i="1"/>
  <c r="E4" i="2" s="1"/>
  <c r="AB15" i="1"/>
  <c r="AA15" i="1"/>
  <c r="Z15" i="1"/>
  <c r="X15" i="1"/>
  <c r="D4" i="2" s="1"/>
  <c r="AB14" i="1"/>
  <c r="AA14" i="1"/>
  <c r="X14" i="1"/>
  <c r="C4" i="2" s="1"/>
  <c r="AB13" i="1"/>
  <c r="AA13" i="1"/>
  <c r="Z13" i="1"/>
  <c r="X13" i="1"/>
  <c r="H3" i="2" s="1"/>
  <c r="AB12" i="1"/>
  <c r="AA12" i="1"/>
  <c r="X12" i="1"/>
  <c r="AB11" i="1"/>
  <c r="AA11" i="1"/>
  <c r="X11" i="1"/>
  <c r="AB10" i="1"/>
  <c r="AA10" i="1"/>
  <c r="X10" i="1"/>
  <c r="AB9" i="1"/>
  <c r="AA9" i="1"/>
  <c r="X9" i="1"/>
  <c r="D3" i="2" s="1"/>
  <c r="AB8" i="1"/>
  <c r="AA8" i="1"/>
  <c r="Z8" i="1"/>
  <c r="X8" i="1"/>
  <c r="AB7" i="1"/>
  <c r="AA7" i="1"/>
  <c r="X7" i="1"/>
  <c r="H2" i="2" s="1"/>
  <c r="AB6" i="1"/>
  <c r="AA6" i="1"/>
  <c r="X6" i="1"/>
  <c r="G2" i="2" s="1"/>
  <c r="AB5" i="1"/>
  <c r="AA5" i="1"/>
  <c r="X5" i="1"/>
  <c r="F2" i="2" s="1"/>
  <c r="AB4" i="1"/>
  <c r="AA4" i="1"/>
  <c r="Z4" i="1"/>
  <c r="X4" i="1"/>
  <c r="AB3" i="1"/>
  <c r="AA3" i="1"/>
  <c r="X3" i="1"/>
  <c r="D2" i="2" s="1"/>
  <c r="AB2" i="1"/>
  <c r="AA2" i="1"/>
  <c r="Z2" i="1"/>
  <c r="X2" i="1"/>
  <c r="C2" i="2" s="1"/>
  <c r="E3" i="2" l="1"/>
  <c r="C3" i="2"/>
  <c r="E2" i="2"/>
  <c r="F3" i="2"/>
  <c r="H5" i="2"/>
  <c r="D11" i="2"/>
  <c r="G9" i="2"/>
  <c r="C9" i="2"/>
  <c r="Z43" i="1"/>
  <c r="Z29" i="1"/>
  <c r="Z28" i="1"/>
  <c r="Z20" i="1"/>
  <c r="Z11" i="1"/>
  <c r="Z70" i="1"/>
  <c r="Z56" i="1"/>
  <c r="Z54" i="1"/>
  <c r="Z68" i="1"/>
  <c r="Z67" i="1"/>
  <c r="Z66" i="1"/>
  <c r="Z65" i="1"/>
  <c r="Z64" i="1"/>
  <c r="Z62" i="1"/>
  <c r="Z61" i="1"/>
  <c r="Z60" i="1"/>
  <c r="Z58" i="1"/>
  <c r="Z57" i="1"/>
  <c r="H10" i="2"/>
  <c r="Z50" i="1"/>
  <c r="Z49" i="1"/>
  <c r="Z48" i="1"/>
  <c r="Z47" i="1"/>
  <c r="Z45" i="1"/>
  <c r="Z44" i="1"/>
  <c r="Z23" i="1"/>
  <c r="Z10" i="1"/>
  <c r="Z51" i="1"/>
  <c r="Z7" i="1"/>
  <c r="Z3" i="1"/>
  <c r="Z52" i="1"/>
  <c r="E9" i="2"/>
  <c r="Z40" i="1"/>
  <c r="Z38" i="1"/>
  <c r="Z37" i="1"/>
  <c r="Z24" i="1"/>
  <c r="Z22" i="1"/>
  <c r="Z17" i="1"/>
  <c r="Z16" i="1"/>
  <c r="Z12" i="1"/>
  <c r="Z14" i="1"/>
  <c r="Z9" i="1"/>
  <c r="Z6" i="1"/>
  <c r="Z5" i="1"/>
  <c r="Z69" i="1"/>
  <c r="D13" i="2"/>
  <c r="E13" i="2"/>
  <c r="C7" i="2"/>
  <c r="C6" i="2"/>
  <c r="G4" i="2"/>
  <c r="Z72" i="1"/>
  <c r="G13" i="2"/>
  <c r="Z71" i="1"/>
  <c r="F13" i="2"/>
  <c r="D10" i="2"/>
  <c r="G3" i="2"/>
  <c r="H13" i="2"/>
  <c r="Z73" i="1"/>
</calcChain>
</file>

<file path=xl/sharedStrings.xml><?xml version="1.0" encoding="utf-8"?>
<sst xmlns="http://schemas.openxmlformats.org/spreadsheetml/2006/main" count="276" uniqueCount="48">
  <si>
    <t>Supervision Control</t>
  </si>
  <si>
    <t>Availability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</si>
  <si>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</si>
  <si>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</si>
  <si>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</si>
  <si>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</si>
  <si>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</si>
  <si>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</si>
  <si>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</si>
  <si>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</si>
  <si>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</si>
  <si>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</si>
  <si>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</si>
  <si>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</si>
  <si>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</si>
  <si>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</si>
  <si>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</si>
  <si>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</si>
  <si>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</si>
  <si>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</si>
  <si>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</si>
  <si>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</si>
  <si>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</si>
  <si>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</si>
  <si>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</si>
  <si>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</si>
  <si>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</si>
  <si>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</si>
  <si>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Target history</t>
  </si>
  <si>
    <t>0 h</t>
  </si>
  <si>
    <t>MAE</t>
  </si>
  <si>
    <t>RMSE</t>
  </si>
  <si>
    <t>sMAPE (%)</t>
  </si>
  <si>
    <t>R2</t>
  </si>
  <si>
    <t>PICP (%)</t>
  </si>
  <si>
    <t>Shift Score</t>
  </si>
  <si>
    <t>6 h</t>
  </si>
  <si>
    <t>12 h</t>
  </si>
  <si>
    <t>24 h</t>
  </si>
  <si>
    <t>3 d</t>
  </si>
  <si>
    <t>7 d</t>
  </si>
  <si>
    <t>Target-data fraction</t>
  </si>
  <si>
    <t>1%</t>
  </si>
  <si>
    <t>2%</t>
  </si>
  <si>
    <t>5%</t>
  </si>
  <si>
    <t>10%</t>
  </si>
  <si>
    <t>25%</t>
  </si>
  <si>
    <t>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</si>
</sst>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workbookViewId="0">
      <pane xSplit="3" ySplit="1" topLeftCell="N47" activePane="bottomRight" state="frozen"/>
      <selection pane="topRight"/>
      <selection pane="bottomLeft"/>
      <selection pane="bottomRight" activeCell="Y2" sqref="Y2:Y73"/>
    </sheetView>
  </sheetViews>
  <sheetFormatPr defaultRowHeight="15" x14ac:dyDescent="0.25"/>
  <cols>
    <col min="1" max="1" width="23" customWidth="1"/>
    <col min="2" max="2" width="14" customWidth="1"/>
    <col min="3" max="3" width="15" customWidth="1"/>
    <col min="4" max="28" width="1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s="2">
        <v>0.83179999999999998</v>
      </c>
      <c r="E2" s="2">
        <v>0.81759999999999999</v>
      </c>
      <c r="F2" s="2">
        <v>0.85099999999999998</v>
      </c>
      <c r="G2" s="2">
        <v>0.82720000000000005</v>
      </c>
      <c r="H2" s="2">
        <v>0.81830000000000003</v>
      </c>
      <c r="I2" s="2">
        <v>0.77680000000000005</v>
      </c>
      <c r="J2" s="2">
        <v>0.83940000000000003</v>
      </c>
      <c r="K2" s="2">
        <v>0.80730000000000002</v>
      </c>
      <c r="L2" s="2">
        <v>0.81510000000000005</v>
      </c>
      <c r="M2" s="2">
        <v>0.85109999999999997</v>
      </c>
      <c r="N2" s="2">
        <v>0.82299999999999995</v>
      </c>
      <c r="O2" s="2">
        <v>0.84589999999999999</v>
      </c>
      <c r="P2" s="2">
        <v>0.84870000000000001</v>
      </c>
      <c r="Q2" s="2">
        <v>0.8337</v>
      </c>
      <c r="R2" s="2">
        <v>0.81240000000000001</v>
      </c>
      <c r="S2" s="2">
        <v>0.83020000000000005</v>
      </c>
      <c r="T2" s="2">
        <v>0.80210000000000004</v>
      </c>
      <c r="U2" s="2">
        <v>0.83599999999999997</v>
      </c>
      <c r="V2" s="2">
        <v>0.78959999999999997</v>
      </c>
      <c r="W2" s="2">
        <v>0.8589</v>
      </c>
      <c r="X2" s="2">
        <f t="shared" ref="X2:X33" si="0">AVERAGE(D2:W2)</f>
        <v>0.8258049999999999</v>
      </c>
      <c r="Y2" s="2">
        <f>_xlfn.STDEV.S(D2:W2)</f>
        <v>2.1458220728711522E-2</v>
      </c>
      <c r="Z2" s="2">
        <f t="shared" ref="Z2:Z33" si="1">IFERROR(Y2/ABS(X2)*100,"")</f>
        <v>2.5984609839746096</v>
      </c>
      <c r="AA2" s="2">
        <f t="shared" ref="AA2:AA33" si="2">MIN(D2:W2)</f>
        <v>0.77680000000000005</v>
      </c>
      <c r="AB2" s="2">
        <f t="shared" ref="AB2:AB33" si="3">MAX(D2:W2)</f>
        <v>0.8589</v>
      </c>
    </row>
    <row r="3" spans="1:28" x14ac:dyDescent="0.25">
      <c r="A3" t="s">
        <v>28</v>
      </c>
      <c r="B3" t="s">
        <v>29</v>
      </c>
      <c r="C3" t="s">
        <v>31</v>
      </c>
      <c r="D3" s="2">
        <v>1.0682</v>
      </c>
      <c r="E3" s="2">
        <v>1.0976999999999999</v>
      </c>
      <c r="F3" s="2">
        <v>1.0742</v>
      </c>
      <c r="G3" s="2">
        <v>1.0879000000000001</v>
      </c>
      <c r="H3" s="2">
        <v>1.1276999999999999</v>
      </c>
      <c r="I3" s="2">
        <v>1.1157999999999999</v>
      </c>
      <c r="J3" s="2">
        <v>1.0831</v>
      </c>
      <c r="K3" s="2">
        <v>1.1311</v>
      </c>
      <c r="L3" s="2">
        <v>1.0879000000000001</v>
      </c>
      <c r="M3" s="2">
        <v>1.0834999999999999</v>
      </c>
      <c r="N3" s="2">
        <v>1.0786</v>
      </c>
      <c r="O3" s="2">
        <v>1.0919000000000001</v>
      </c>
      <c r="P3" s="2">
        <v>1.101</v>
      </c>
      <c r="Q3" s="2">
        <v>1.1051</v>
      </c>
      <c r="R3" s="2">
        <v>1.0891999999999999</v>
      </c>
      <c r="S3" s="2">
        <v>1.1163000000000001</v>
      </c>
      <c r="T3" s="2">
        <v>1.0724</v>
      </c>
      <c r="U3" s="2">
        <v>1.1104000000000001</v>
      </c>
      <c r="V3" s="2">
        <v>1.0766</v>
      </c>
      <c r="W3" s="2">
        <v>1.1044</v>
      </c>
      <c r="X3" s="2">
        <f t="shared" si="0"/>
        <v>1.0951499999999996</v>
      </c>
      <c r="Y3" s="2">
        <f t="shared" ref="Y3:Y66" si="4">_xlfn.STDEV.S(D3:W3)</f>
        <v>1.8376601254971224E-2</v>
      </c>
      <c r="Z3" s="2">
        <f t="shared" si="1"/>
        <v>1.6779985622947753</v>
      </c>
      <c r="AA3" s="2">
        <f t="shared" si="2"/>
        <v>1.0682</v>
      </c>
      <c r="AB3" s="2">
        <f t="shared" si="3"/>
        <v>1.1311</v>
      </c>
    </row>
    <row r="4" spans="1:28" x14ac:dyDescent="0.25">
      <c r="A4" t="s">
        <v>28</v>
      </c>
      <c r="B4" t="s">
        <v>29</v>
      </c>
      <c r="C4" t="s">
        <v>32</v>
      </c>
      <c r="D4" s="2">
        <v>6.9851999999999999</v>
      </c>
      <c r="E4" s="2">
        <v>6.9951999999999996</v>
      </c>
      <c r="F4" s="2">
        <v>6.9382999999999999</v>
      </c>
      <c r="G4" s="2">
        <v>7.0712999999999999</v>
      </c>
      <c r="H4" s="2">
        <v>7.3818999999999999</v>
      </c>
      <c r="I4" s="2">
        <v>6.9863</v>
      </c>
      <c r="J4" s="2">
        <v>6.8685</v>
      </c>
      <c r="K4" s="2">
        <v>6.8590999999999998</v>
      </c>
      <c r="L4" s="2">
        <v>7.0132000000000003</v>
      </c>
      <c r="M4" s="2">
        <v>6.7929000000000004</v>
      </c>
      <c r="N4" s="2">
        <v>7.0326000000000004</v>
      </c>
      <c r="O4" s="2">
        <v>6.8026999999999997</v>
      </c>
      <c r="P4" s="2">
        <v>6.8780999999999999</v>
      </c>
      <c r="Q4" s="2">
        <v>7.2874999999999996</v>
      </c>
      <c r="R4" s="2">
        <v>7.2716000000000003</v>
      </c>
      <c r="S4" s="2">
        <v>7.0152999999999999</v>
      </c>
      <c r="T4" s="2">
        <v>7.1153000000000004</v>
      </c>
      <c r="U4" s="2">
        <v>6.6044999999999998</v>
      </c>
      <c r="V4" s="2">
        <v>7.1188000000000002</v>
      </c>
      <c r="W4" s="2">
        <v>7.0712999999999999</v>
      </c>
      <c r="X4" s="2">
        <f t="shared" si="0"/>
        <v>7.0044800000000009</v>
      </c>
      <c r="Y4" s="2">
        <f t="shared" si="4"/>
        <v>0.18287100601819109</v>
      </c>
      <c r="Z4" s="2">
        <f t="shared" si="1"/>
        <v>2.6107720490056519</v>
      </c>
      <c r="AA4" s="2">
        <f t="shared" si="2"/>
        <v>6.6044999999999998</v>
      </c>
      <c r="AB4" s="2">
        <f t="shared" si="3"/>
        <v>7.3818999999999999</v>
      </c>
    </row>
    <row r="5" spans="1:28" x14ac:dyDescent="0.25">
      <c r="A5" t="s">
        <v>28</v>
      </c>
      <c r="B5" t="s">
        <v>29</v>
      </c>
      <c r="C5" t="s">
        <v>33</v>
      </c>
      <c r="D5" s="2">
        <v>0.85819999999999996</v>
      </c>
      <c r="E5" s="2">
        <v>0.86029999999999995</v>
      </c>
      <c r="F5" s="2">
        <v>0.86439999999999995</v>
      </c>
      <c r="G5" s="2">
        <v>0.85289999999999999</v>
      </c>
      <c r="H5" s="2">
        <v>0.86750000000000005</v>
      </c>
      <c r="I5" s="2">
        <v>0.85329999999999995</v>
      </c>
      <c r="J5" s="2">
        <v>0.86109999999999998</v>
      </c>
      <c r="K5" s="2">
        <v>0.85519999999999996</v>
      </c>
      <c r="L5" s="2">
        <v>0.86050000000000004</v>
      </c>
      <c r="M5" s="2">
        <v>0.86119999999999997</v>
      </c>
      <c r="N5" s="2">
        <v>0.8619</v>
      </c>
      <c r="O5" s="2">
        <v>0.86280000000000001</v>
      </c>
      <c r="P5" s="2">
        <v>0.85780000000000001</v>
      </c>
      <c r="Q5" s="2">
        <v>0.85329999999999995</v>
      </c>
      <c r="R5" s="2">
        <v>0.86140000000000005</v>
      </c>
      <c r="S5" s="2">
        <v>0.85550000000000004</v>
      </c>
      <c r="T5" s="2">
        <v>0.85350000000000004</v>
      </c>
      <c r="U5" s="2">
        <v>0.85370000000000001</v>
      </c>
      <c r="V5" s="2">
        <v>0.86580000000000001</v>
      </c>
      <c r="W5" s="2">
        <v>0.86019999999999996</v>
      </c>
      <c r="X5" s="2">
        <f t="shared" si="0"/>
        <v>0.85902499999999993</v>
      </c>
      <c r="Y5" s="2">
        <f t="shared" si="4"/>
        <v>4.473180312178711E-3</v>
      </c>
      <c r="Z5" s="2">
        <f t="shared" si="1"/>
        <v>0.5207276053873533</v>
      </c>
      <c r="AA5" s="2">
        <f t="shared" si="2"/>
        <v>0.85289999999999999</v>
      </c>
      <c r="AB5" s="2">
        <f t="shared" si="3"/>
        <v>0.86750000000000005</v>
      </c>
    </row>
    <row r="6" spans="1:28" x14ac:dyDescent="0.25">
      <c r="A6" t="s">
        <v>28</v>
      </c>
      <c r="B6" t="s">
        <v>29</v>
      </c>
      <c r="C6" t="s">
        <v>34</v>
      </c>
      <c r="D6" s="2">
        <v>94.383799999999994</v>
      </c>
      <c r="E6" s="2">
        <v>94.705699999999993</v>
      </c>
      <c r="F6" s="2">
        <v>96.028599999999997</v>
      </c>
      <c r="G6" s="2">
        <v>94.309399999999997</v>
      </c>
      <c r="H6" s="2">
        <v>95.064499999999995</v>
      </c>
      <c r="I6" s="2">
        <v>93.683599999999998</v>
      </c>
      <c r="J6" s="2">
        <v>93.7714</v>
      </c>
      <c r="K6" s="2">
        <v>95.127600000000001</v>
      </c>
      <c r="L6" s="2">
        <v>95.914000000000001</v>
      </c>
      <c r="M6" s="2">
        <v>94.703299999999999</v>
      </c>
      <c r="N6" s="2">
        <v>94.688800000000001</v>
      </c>
      <c r="O6" s="2">
        <v>94.497200000000007</v>
      </c>
      <c r="P6" s="2">
        <v>94.781899999999993</v>
      </c>
      <c r="Q6" s="2">
        <v>94.918599999999998</v>
      </c>
      <c r="R6" s="2">
        <v>94.695800000000006</v>
      </c>
      <c r="S6" s="2">
        <v>93.694500000000005</v>
      </c>
      <c r="T6" s="2">
        <v>94.133399999999995</v>
      </c>
      <c r="U6" s="2">
        <v>94.732500000000002</v>
      </c>
      <c r="V6" s="2">
        <v>94.546000000000006</v>
      </c>
      <c r="W6" s="2">
        <v>94.912199999999999</v>
      </c>
      <c r="X6" s="2">
        <f t="shared" si="0"/>
        <v>94.664639999999991</v>
      </c>
      <c r="Y6" s="2">
        <f t="shared" si="4"/>
        <v>0.61452856847642467</v>
      </c>
      <c r="Z6" s="2">
        <f t="shared" si="1"/>
        <v>0.64916379386899348</v>
      </c>
      <c r="AA6" s="2">
        <f t="shared" si="2"/>
        <v>93.683599999999998</v>
      </c>
      <c r="AB6" s="2">
        <f t="shared" si="3"/>
        <v>96.028599999999997</v>
      </c>
    </row>
    <row r="7" spans="1:28" x14ac:dyDescent="0.25">
      <c r="A7" t="s">
        <v>28</v>
      </c>
      <c r="B7" t="s">
        <v>29</v>
      </c>
      <c r="C7" t="s">
        <v>35</v>
      </c>
      <c r="D7" s="2">
        <v>0.28129999999999999</v>
      </c>
      <c r="E7" s="2">
        <v>0.26690000000000003</v>
      </c>
      <c r="F7" s="2">
        <v>0.2712</v>
      </c>
      <c r="G7" s="2">
        <v>0.251</v>
      </c>
      <c r="H7" s="2">
        <v>0.30330000000000001</v>
      </c>
      <c r="I7" s="2">
        <v>0.26440000000000002</v>
      </c>
      <c r="J7" s="2">
        <v>0.28470000000000001</v>
      </c>
      <c r="K7" s="2">
        <v>0.26479999999999998</v>
      </c>
      <c r="L7" s="2">
        <v>0.28260000000000002</v>
      </c>
      <c r="M7" s="2">
        <v>0.25690000000000002</v>
      </c>
      <c r="N7" s="2">
        <v>0.26229999999999998</v>
      </c>
      <c r="O7" s="2">
        <v>0.26989999999999997</v>
      </c>
      <c r="P7" s="2">
        <v>0.29149999999999998</v>
      </c>
      <c r="Q7" s="2">
        <v>0.30819999999999997</v>
      </c>
      <c r="R7" s="2">
        <v>0.28270000000000001</v>
      </c>
      <c r="S7" s="2">
        <v>0.29160000000000003</v>
      </c>
      <c r="T7" s="2">
        <v>0.28029999999999999</v>
      </c>
      <c r="U7" s="2">
        <v>0.2797</v>
      </c>
      <c r="V7" s="2">
        <v>0.25919999999999999</v>
      </c>
      <c r="W7" s="2">
        <v>0.26479999999999998</v>
      </c>
      <c r="X7" s="2">
        <f t="shared" si="0"/>
        <v>0.27586499999999997</v>
      </c>
      <c r="Y7" s="2">
        <f t="shared" si="4"/>
        <v>1.5352053694264458E-2</v>
      </c>
      <c r="Z7" s="2">
        <f t="shared" si="1"/>
        <v>5.5650603354048025</v>
      </c>
      <c r="AA7" s="2">
        <f t="shared" si="2"/>
        <v>0.251</v>
      </c>
      <c r="AB7" s="2">
        <f t="shared" si="3"/>
        <v>0.30819999999999997</v>
      </c>
    </row>
    <row r="8" spans="1:28" x14ac:dyDescent="0.25">
      <c r="A8" t="s">
        <v>28</v>
      </c>
      <c r="B8" t="s">
        <v>36</v>
      </c>
      <c r="C8" t="s">
        <v>30</v>
      </c>
      <c r="D8" s="2">
        <v>0.76649999999999996</v>
      </c>
      <c r="E8" s="2">
        <v>0.76580000000000004</v>
      </c>
      <c r="F8" s="2">
        <v>0.77800000000000002</v>
      </c>
      <c r="G8" s="2">
        <v>0.72189999999999999</v>
      </c>
      <c r="H8" s="2">
        <v>0.76190000000000002</v>
      </c>
      <c r="I8" s="2">
        <v>0.79149999999999998</v>
      </c>
      <c r="J8" s="2">
        <v>0.7702</v>
      </c>
      <c r="K8" s="2">
        <v>0.8226</v>
      </c>
      <c r="L8" s="2">
        <v>0.77039999999999997</v>
      </c>
      <c r="M8" s="2">
        <v>0.77090000000000003</v>
      </c>
      <c r="N8" s="2">
        <v>0.76690000000000003</v>
      </c>
      <c r="O8" s="2">
        <v>0.77310000000000001</v>
      </c>
      <c r="P8" s="2">
        <v>0.79759999999999998</v>
      </c>
      <c r="Q8" s="2">
        <v>0.7319</v>
      </c>
      <c r="R8" s="2">
        <v>0.70369999999999999</v>
      </c>
      <c r="S8" s="2">
        <v>0.7611</v>
      </c>
      <c r="T8" s="2">
        <v>0.79669999999999996</v>
      </c>
      <c r="U8" s="2">
        <v>0.81230000000000002</v>
      </c>
      <c r="V8" s="2">
        <v>0.72450000000000003</v>
      </c>
      <c r="W8" s="2">
        <v>0.76900000000000002</v>
      </c>
      <c r="X8" s="2">
        <f t="shared" si="0"/>
        <v>0.76782499999999998</v>
      </c>
      <c r="Y8" s="2">
        <f t="shared" si="4"/>
        <v>2.9814723932277059E-2</v>
      </c>
      <c r="Z8" s="2">
        <f t="shared" si="1"/>
        <v>3.8830103125421886</v>
      </c>
      <c r="AA8" s="2">
        <f t="shared" si="2"/>
        <v>0.70369999999999999</v>
      </c>
      <c r="AB8" s="2">
        <f t="shared" si="3"/>
        <v>0.8226</v>
      </c>
    </row>
    <row r="9" spans="1:28" x14ac:dyDescent="0.25">
      <c r="A9" t="s">
        <v>28</v>
      </c>
      <c r="B9" t="s">
        <v>36</v>
      </c>
      <c r="C9" t="s">
        <v>31</v>
      </c>
      <c r="D9" s="2">
        <v>0.98580000000000001</v>
      </c>
      <c r="E9" s="2">
        <v>1.0065999999999999</v>
      </c>
      <c r="F9" s="2">
        <v>0.99329999999999996</v>
      </c>
      <c r="G9" s="2">
        <v>1.0455000000000001</v>
      </c>
      <c r="H9" s="2">
        <v>1.0445</v>
      </c>
      <c r="I9" s="2">
        <v>1.0302</v>
      </c>
      <c r="J9" s="2">
        <v>0.99490000000000001</v>
      </c>
      <c r="K9" s="2">
        <v>1.0166999999999999</v>
      </c>
      <c r="L9" s="2">
        <v>0.97370000000000001</v>
      </c>
      <c r="M9" s="2">
        <v>0.9405</v>
      </c>
      <c r="N9" s="2">
        <v>1.0076000000000001</v>
      </c>
      <c r="O9" s="2">
        <v>0.98109999999999997</v>
      </c>
      <c r="P9" s="2">
        <v>1.0047999999999999</v>
      </c>
      <c r="Q9" s="2">
        <v>1.02</v>
      </c>
      <c r="R9" s="2">
        <v>1.0422</v>
      </c>
      <c r="S9" s="2">
        <v>0.99729999999999996</v>
      </c>
      <c r="T9" s="2">
        <v>1.0728</v>
      </c>
      <c r="U9" s="2">
        <v>1.0457000000000001</v>
      </c>
      <c r="V9" s="2">
        <v>1.0295000000000001</v>
      </c>
      <c r="W9" s="2">
        <v>1.0464</v>
      </c>
      <c r="X9" s="2">
        <f t="shared" si="0"/>
        <v>1.0139549999999997</v>
      </c>
      <c r="Y9" s="2">
        <f t="shared" si="4"/>
        <v>3.1566395773120252E-2</v>
      </c>
      <c r="Z9" s="2">
        <f t="shared" si="1"/>
        <v>3.1131949418978415</v>
      </c>
      <c r="AA9" s="2">
        <f t="shared" si="2"/>
        <v>0.9405</v>
      </c>
      <c r="AB9" s="2">
        <f t="shared" si="3"/>
        <v>1.0728</v>
      </c>
    </row>
    <row r="10" spans="1:28" x14ac:dyDescent="0.25">
      <c r="A10" t="s">
        <v>28</v>
      </c>
      <c r="B10" t="s">
        <v>36</v>
      </c>
      <c r="C10" t="s">
        <v>32</v>
      </c>
      <c r="D10" s="2">
        <v>6.5423</v>
      </c>
      <c r="E10" s="2">
        <v>6.6082999999999998</v>
      </c>
      <c r="F10" s="2">
        <v>6.6462000000000003</v>
      </c>
      <c r="G10" s="2">
        <v>6.5376000000000003</v>
      </c>
      <c r="H10" s="2">
        <v>6.6896000000000004</v>
      </c>
      <c r="I10" s="2">
        <v>6.52</v>
      </c>
      <c r="J10" s="2">
        <v>6.8209</v>
      </c>
      <c r="K10" s="2">
        <v>6.5602999999999998</v>
      </c>
      <c r="L10" s="2">
        <v>6.4436</v>
      </c>
      <c r="M10" s="2">
        <v>6.1407999999999996</v>
      </c>
      <c r="N10" s="2">
        <v>6.2348999999999997</v>
      </c>
      <c r="O10" s="2">
        <v>6.0922999999999998</v>
      </c>
      <c r="P10" s="2">
        <v>6.7855999999999996</v>
      </c>
      <c r="Q10" s="2">
        <v>6.6536</v>
      </c>
      <c r="R10" s="2">
        <v>6.5904999999999996</v>
      </c>
      <c r="S10" s="2">
        <v>6.5083000000000002</v>
      </c>
      <c r="T10" s="2">
        <v>6.2742000000000004</v>
      </c>
      <c r="U10" s="2">
        <v>6.4695</v>
      </c>
      <c r="V10" s="2">
        <v>6.8619000000000003</v>
      </c>
      <c r="W10" s="2">
        <v>6.52</v>
      </c>
      <c r="X10" s="2">
        <f t="shared" si="0"/>
        <v>6.5250200000000005</v>
      </c>
      <c r="Y10" s="2">
        <f t="shared" si="4"/>
        <v>0.20927912511888602</v>
      </c>
      <c r="Z10" s="2">
        <f t="shared" si="1"/>
        <v>3.2073330827934017</v>
      </c>
      <c r="AA10" s="2">
        <f t="shared" si="2"/>
        <v>6.0922999999999998</v>
      </c>
      <c r="AB10" s="2">
        <f t="shared" si="3"/>
        <v>6.8619000000000003</v>
      </c>
    </row>
    <row r="11" spans="1:28" x14ac:dyDescent="0.25">
      <c r="A11" t="s">
        <v>28</v>
      </c>
      <c r="B11" t="s">
        <v>36</v>
      </c>
      <c r="C11" t="s">
        <v>33</v>
      </c>
      <c r="D11" s="2">
        <v>0.87790000000000001</v>
      </c>
      <c r="E11" s="2">
        <v>0.87970000000000004</v>
      </c>
      <c r="F11" s="2">
        <v>0.87590000000000001</v>
      </c>
      <c r="G11" s="2">
        <v>0.87419999999999998</v>
      </c>
      <c r="H11" s="2">
        <v>0.86729999999999996</v>
      </c>
      <c r="I11" s="2">
        <v>0.86450000000000005</v>
      </c>
      <c r="J11" s="2">
        <v>0.86509999999999998</v>
      </c>
      <c r="K11" s="2">
        <v>0.86429999999999996</v>
      </c>
      <c r="L11" s="2">
        <v>0.875</v>
      </c>
      <c r="M11" s="2">
        <v>0.88039999999999996</v>
      </c>
      <c r="N11" s="2">
        <v>0.875</v>
      </c>
      <c r="O11" s="2">
        <v>0.87380000000000002</v>
      </c>
      <c r="P11" s="2">
        <v>0.85619999999999996</v>
      </c>
      <c r="Q11" s="2">
        <v>0.86880000000000002</v>
      </c>
      <c r="R11" s="2">
        <v>0.85829999999999995</v>
      </c>
      <c r="S11" s="2">
        <v>0.87960000000000005</v>
      </c>
      <c r="T11" s="2">
        <v>0.85950000000000004</v>
      </c>
      <c r="U11" s="2">
        <v>0.87080000000000002</v>
      </c>
      <c r="V11" s="2">
        <v>0.86099999999999999</v>
      </c>
      <c r="W11" s="2">
        <v>0.87309999999999999</v>
      </c>
      <c r="X11" s="2">
        <f t="shared" si="0"/>
        <v>0.87002000000000002</v>
      </c>
      <c r="Y11" s="2">
        <f t="shared" si="4"/>
        <v>7.6019803514056818E-3</v>
      </c>
      <c r="Z11" s="2">
        <f t="shared" si="1"/>
        <v>0.87377075830505979</v>
      </c>
      <c r="AA11" s="2">
        <f t="shared" si="2"/>
        <v>0.85619999999999996</v>
      </c>
      <c r="AB11" s="2">
        <f t="shared" si="3"/>
        <v>0.88039999999999996</v>
      </c>
    </row>
    <row r="12" spans="1:28" x14ac:dyDescent="0.25">
      <c r="A12" t="s">
        <v>28</v>
      </c>
      <c r="B12" t="s">
        <v>36</v>
      </c>
      <c r="C12" t="s">
        <v>34</v>
      </c>
      <c r="D12" s="2">
        <v>95.797399999999996</v>
      </c>
      <c r="E12" s="2">
        <v>93.901200000000003</v>
      </c>
      <c r="F12" s="2">
        <v>94.272400000000005</v>
      </c>
      <c r="G12" s="2">
        <v>93.721299999999999</v>
      </c>
      <c r="H12" s="2">
        <v>94.84</v>
      </c>
      <c r="I12" s="2">
        <v>93.588499999999996</v>
      </c>
      <c r="J12" s="2">
        <v>94.025800000000004</v>
      </c>
      <c r="K12" s="2">
        <v>95.499099999999999</v>
      </c>
      <c r="L12" s="2">
        <v>93.133399999999995</v>
      </c>
      <c r="M12" s="2">
        <v>95.4983</v>
      </c>
      <c r="N12" s="2">
        <v>93.376000000000005</v>
      </c>
      <c r="O12" s="2">
        <v>94.682100000000005</v>
      </c>
      <c r="P12" s="2">
        <v>96.019400000000005</v>
      </c>
      <c r="Q12" s="2">
        <v>95.022999999999996</v>
      </c>
      <c r="R12" s="2">
        <v>93.387600000000006</v>
      </c>
      <c r="S12" s="2">
        <v>96.23</v>
      </c>
      <c r="T12" s="2">
        <v>93.752200000000002</v>
      </c>
      <c r="U12" s="2">
        <v>92.707700000000003</v>
      </c>
      <c r="V12" s="2">
        <v>94.577799999999996</v>
      </c>
      <c r="W12" s="2">
        <v>96.981999999999999</v>
      </c>
      <c r="X12" s="2">
        <f t="shared" si="0"/>
        <v>94.550759999999983</v>
      </c>
      <c r="Y12" s="2">
        <f t="shared" si="4"/>
        <v>1.1636839358375259</v>
      </c>
      <c r="Z12" s="2">
        <f t="shared" si="1"/>
        <v>1.230750483483714</v>
      </c>
      <c r="AA12" s="2">
        <f t="shared" si="2"/>
        <v>92.707700000000003</v>
      </c>
      <c r="AB12" s="2">
        <f t="shared" si="3"/>
        <v>96.981999999999999</v>
      </c>
    </row>
    <row r="13" spans="1:28" x14ac:dyDescent="0.25">
      <c r="A13" t="s">
        <v>28</v>
      </c>
      <c r="B13" t="s">
        <v>36</v>
      </c>
      <c r="C13" t="s">
        <v>35</v>
      </c>
      <c r="D13" s="2">
        <v>0.255</v>
      </c>
      <c r="E13" s="2">
        <v>0.27689999999999998</v>
      </c>
      <c r="F13" s="2">
        <v>0.21970000000000001</v>
      </c>
      <c r="G13" s="2">
        <v>0.25230000000000002</v>
      </c>
      <c r="H13" s="2">
        <v>0.2271</v>
      </c>
      <c r="I13" s="2">
        <v>0.253</v>
      </c>
      <c r="J13" s="2">
        <v>0.2712</v>
      </c>
      <c r="K13" s="2">
        <v>0.26500000000000001</v>
      </c>
      <c r="L13" s="2">
        <v>0.249</v>
      </c>
      <c r="M13" s="2">
        <v>0.25140000000000001</v>
      </c>
      <c r="N13" s="2">
        <v>0.25600000000000001</v>
      </c>
      <c r="O13" s="2">
        <v>0.2477</v>
      </c>
      <c r="P13" s="2">
        <v>0.24529999999999999</v>
      </c>
      <c r="Q13" s="2">
        <v>0.24790000000000001</v>
      </c>
      <c r="R13" s="2">
        <v>0.25059999999999999</v>
      </c>
      <c r="S13" s="2">
        <v>0.24340000000000001</v>
      </c>
      <c r="T13" s="2">
        <v>0.29380000000000001</v>
      </c>
      <c r="U13" s="2">
        <v>0.2606</v>
      </c>
      <c r="V13" s="2">
        <v>0.2311</v>
      </c>
      <c r="W13" s="2">
        <v>0.246</v>
      </c>
      <c r="X13" s="2">
        <f t="shared" si="0"/>
        <v>0.25214999999999999</v>
      </c>
      <c r="Y13" s="2">
        <f t="shared" si="4"/>
        <v>1.6711278888979837E-2</v>
      </c>
      <c r="Z13" s="2">
        <f t="shared" si="1"/>
        <v>6.6275149272178622</v>
      </c>
      <c r="AA13" s="2">
        <f t="shared" si="2"/>
        <v>0.21970000000000001</v>
      </c>
      <c r="AB13" s="2">
        <f t="shared" si="3"/>
        <v>0.29380000000000001</v>
      </c>
    </row>
    <row r="14" spans="1:28" x14ac:dyDescent="0.25">
      <c r="A14" t="s">
        <v>28</v>
      </c>
      <c r="B14" t="s">
        <v>37</v>
      </c>
      <c r="C14" t="s">
        <v>30</v>
      </c>
      <c r="D14" s="2">
        <v>0.68479999999999996</v>
      </c>
      <c r="E14" s="2">
        <v>0.66659999999999997</v>
      </c>
      <c r="F14" s="2">
        <v>0.73939999999999995</v>
      </c>
      <c r="G14" s="2">
        <v>0.73509999999999998</v>
      </c>
      <c r="H14" s="2">
        <v>0.67030000000000001</v>
      </c>
      <c r="I14" s="2">
        <v>0.71479999999999999</v>
      </c>
      <c r="J14" s="2">
        <v>0.73260000000000003</v>
      </c>
      <c r="K14" s="2">
        <v>0.73429999999999995</v>
      </c>
      <c r="L14" s="2">
        <v>0.72140000000000004</v>
      </c>
      <c r="M14" s="2">
        <v>0.74529999999999996</v>
      </c>
      <c r="N14" s="2">
        <v>0.67479999999999996</v>
      </c>
      <c r="O14" s="2">
        <v>0.68979999999999997</v>
      </c>
      <c r="P14" s="2">
        <v>0.76180000000000003</v>
      </c>
      <c r="Q14" s="2">
        <v>0.69679999999999997</v>
      </c>
      <c r="R14" s="2">
        <v>0.65629999999999999</v>
      </c>
      <c r="S14" s="2">
        <v>0.7621</v>
      </c>
      <c r="T14" s="2">
        <v>0.71799999999999997</v>
      </c>
      <c r="U14" s="2">
        <v>0.68479999999999996</v>
      </c>
      <c r="V14" s="2">
        <v>0.70430000000000004</v>
      </c>
      <c r="W14" s="2">
        <v>0.72989999999999999</v>
      </c>
      <c r="X14" s="2">
        <f t="shared" si="0"/>
        <v>0.71116000000000001</v>
      </c>
      <c r="Y14" s="2">
        <f t="shared" si="4"/>
        <v>3.186541434814473E-2</v>
      </c>
      <c r="Z14" s="2">
        <f t="shared" si="1"/>
        <v>4.4807658400563488</v>
      </c>
      <c r="AA14" s="2">
        <f t="shared" si="2"/>
        <v>0.65629999999999999</v>
      </c>
      <c r="AB14" s="2">
        <f t="shared" si="3"/>
        <v>0.7621</v>
      </c>
    </row>
    <row r="15" spans="1:28" x14ac:dyDescent="0.25">
      <c r="A15" t="s">
        <v>28</v>
      </c>
      <c r="B15" t="s">
        <v>37</v>
      </c>
      <c r="C15" t="s">
        <v>31</v>
      </c>
      <c r="D15" s="2">
        <v>0.94159999999999999</v>
      </c>
      <c r="E15" s="2">
        <v>0.96560000000000001</v>
      </c>
      <c r="F15" s="2">
        <v>0.9617</v>
      </c>
      <c r="G15" s="2">
        <v>0.97560000000000002</v>
      </c>
      <c r="H15" s="2">
        <v>0.92730000000000001</v>
      </c>
      <c r="I15" s="2">
        <v>0.93230000000000002</v>
      </c>
      <c r="J15" s="2">
        <v>0.91759999999999997</v>
      </c>
      <c r="K15" s="2">
        <v>0.9587</v>
      </c>
      <c r="L15" s="2">
        <v>0.91590000000000005</v>
      </c>
      <c r="M15" s="2">
        <v>0.93479999999999996</v>
      </c>
      <c r="N15" s="2">
        <v>0.89200000000000002</v>
      </c>
      <c r="O15" s="2">
        <v>0.94620000000000004</v>
      </c>
      <c r="P15" s="2">
        <v>0.94169999999999998</v>
      </c>
      <c r="Q15" s="2">
        <v>0.93159999999999998</v>
      </c>
      <c r="R15" s="2">
        <v>0.95099999999999996</v>
      </c>
      <c r="S15" s="2">
        <v>0.9385</v>
      </c>
      <c r="T15" s="2">
        <v>0.92479999999999996</v>
      </c>
      <c r="U15" s="2">
        <v>0.97670000000000001</v>
      </c>
      <c r="V15" s="2">
        <v>0.92620000000000002</v>
      </c>
      <c r="W15" s="2">
        <v>0.94269999999999998</v>
      </c>
      <c r="X15" s="2">
        <f t="shared" si="0"/>
        <v>0.94012499999999988</v>
      </c>
      <c r="Y15" s="2">
        <f t="shared" si="4"/>
        <v>2.1014453046465549E-2</v>
      </c>
      <c r="Z15" s="2">
        <f t="shared" si="1"/>
        <v>2.2352828662641193</v>
      </c>
      <c r="AA15" s="2">
        <f t="shared" si="2"/>
        <v>0.89200000000000002</v>
      </c>
      <c r="AB15" s="2">
        <f t="shared" si="3"/>
        <v>0.97670000000000001</v>
      </c>
    </row>
    <row r="16" spans="1:28" x14ac:dyDescent="0.25">
      <c r="A16" t="s">
        <v>28</v>
      </c>
      <c r="B16" t="s">
        <v>37</v>
      </c>
      <c r="C16" t="s">
        <v>32</v>
      </c>
      <c r="D16" s="2">
        <v>6.0452000000000004</v>
      </c>
      <c r="E16" s="2">
        <v>6.05</v>
      </c>
      <c r="F16" s="2">
        <v>5.7760999999999996</v>
      </c>
      <c r="G16" s="2">
        <v>6.0766</v>
      </c>
      <c r="H16" s="2">
        <v>5.9019000000000004</v>
      </c>
      <c r="I16" s="2">
        <v>6.3185000000000002</v>
      </c>
      <c r="J16" s="2">
        <v>5.9203000000000001</v>
      </c>
      <c r="K16" s="2">
        <v>6.2251000000000003</v>
      </c>
      <c r="L16" s="2">
        <v>5.9137000000000004</v>
      </c>
      <c r="M16" s="2">
        <v>6.0528000000000004</v>
      </c>
      <c r="N16" s="2">
        <v>5.92</v>
      </c>
      <c r="O16" s="2">
        <v>6.1818</v>
      </c>
      <c r="P16" s="2">
        <v>5.9103000000000003</v>
      </c>
      <c r="Q16" s="2">
        <v>6.0545999999999998</v>
      </c>
      <c r="R16" s="2">
        <v>6.1711999999999998</v>
      </c>
      <c r="S16" s="2">
        <v>6.2736999999999998</v>
      </c>
      <c r="T16" s="2">
        <v>5.8287000000000004</v>
      </c>
      <c r="U16" s="2">
        <v>5.9150999999999998</v>
      </c>
      <c r="V16" s="2">
        <v>5.6336000000000004</v>
      </c>
      <c r="W16" s="2">
        <v>5.556</v>
      </c>
      <c r="X16" s="2">
        <f t="shared" si="0"/>
        <v>5.9862599999999997</v>
      </c>
      <c r="Y16" s="2">
        <f t="shared" si="4"/>
        <v>0.19970054265535206</v>
      </c>
      <c r="Z16" s="2">
        <f t="shared" si="1"/>
        <v>3.3359817758559109</v>
      </c>
      <c r="AA16" s="2">
        <f t="shared" si="2"/>
        <v>5.556</v>
      </c>
      <c r="AB16" s="2">
        <f t="shared" si="3"/>
        <v>6.3185000000000002</v>
      </c>
    </row>
    <row r="17" spans="1:28" x14ac:dyDescent="0.25">
      <c r="A17" t="s">
        <v>28</v>
      </c>
      <c r="B17" t="s">
        <v>37</v>
      </c>
      <c r="C17" t="s">
        <v>33</v>
      </c>
      <c r="D17" s="2">
        <v>0.88029999999999997</v>
      </c>
      <c r="E17" s="2">
        <v>0.87980000000000003</v>
      </c>
      <c r="F17" s="2">
        <v>0.88129999999999997</v>
      </c>
      <c r="G17" s="2">
        <v>0.88029999999999997</v>
      </c>
      <c r="H17" s="2">
        <v>0.88039999999999996</v>
      </c>
      <c r="I17" s="2">
        <v>0.88400000000000001</v>
      </c>
      <c r="J17" s="2">
        <v>0.87450000000000006</v>
      </c>
      <c r="K17" s="2">
        <v>0.87380000000000002</v>
      </c>
      <c r="L17" s="2">
        <v>0.87509999999999999</v>
      </c>
      <c r="M17" s="2">
        <v>0.88080000000000003</v>
      </c>
      <c r="N17" s="2">
        <v>0.87450000000000006</v>
      </c>
      <c r="O17" s="2">
        <v>0.88639999999999997</v>
      </c>
      <c r="P17" s="2">
        <v>0.88119999999999998</v>
      </c>
      <c r="Q17" s="2">
        <v>0.88300000000000001</v>
      </c>
      <c r="R17" s="2">
        <v>0.89019999999999999</v>
      </c>
      <c r="S17" s="2">
        <v>0.87960000000000005</v>
      </c>
      <c r="T17" s="2">
        <v>0.88039999999999996</v>
      </c>
      <c r="U17" s="2">
        <v>0.87990000000000002</v>
      </c>
      <c r="V17" s="2">
        <v>0.879</v>
      </c>
      <c r="W17" s="2">
        <v>0.87439999999999996</v>
      </c>
      <c r="X17" s="2">
        <f t="shared" si="0"/>
        <v>0.87994499999999998</v>
      </c>
      <c r="Y17" s="2">
        <f t="shared" si="4"/>
        <v>4.165835355667123E-3</v>
      </c>
      <c r="Z17" s="2">
        <f t="shared" si="1"/>
        <v>0.47341997007393904</v>
      </c>
      <c r="AA17" s="2">
        <f t="shared" si="2"/>
        <v>0.87380000000000002</v>
      </c>
      <c r="AB17" s="2">
        <f t="shared" si="3"/>
        <v>0.89019999999999999</v>
      </c>
    </row>
    <row r="18" spans="1:28" x14ac:dyDescent="0.25">
      <c r="A18" t="s">
        <v>28</v>
      </c>
      <c r="B18" t="s">
        <v>37</v>
      </c>
      <c r="C18" t="s">
        <v>34</v>
      </c>
      <c r="D18" s="2">
        <v>95.293400000000005</v>
      </c>
      <c r="E18" s="2">
        <v>95.370099999999994</v>
      </c>
      <c r="F18" s="2">
        <v>94.081100000000006</v>
      </c>
      <c r="G18" s="2">
        <v>94.805400000000006</v>
      </c>
      <c r="H18" s="2">
        <v>94.644099999999995</v>
      </c>
      <c r="I18" s="2">
        <v>95.764799999999994</v>
      </c>
      <c r="J18" s="2">
        <v>94.147800000000004</v>
      </c>
      <c r="K18" s="2">
        <v>95.998099999999994</v>
      </c>
      <c r="L18" s="2">
        <v>94.813299999999998</v>
      </c>
      <c r="M18" s="2">
        <v>94.457400000000007</v>
      </c>
      <c r="N18" s="2">
        <v>94.777500000000003</v>
      </c>
      <c r="O18" s="2">
        <v>95.053799999999995</v>
      </c>
      <c r="P18" s="2">
        <v>94.173199999999994</v>
      </c>
      <c r="Q18" s="2">
        <v>95.212400000000002</v>
      </c>
      <c r="R18" s="2">
        <v>94.665199999999999</v>
      </c>
      <c r="S18" s="2">
        <v>94.950100000000006</v>
      </c>
      <c r="T18" s="2">
        <v>96.070700000000002</v>
      </c>
      <c r="U18" s="2">
        <v>94.850800000000007</v>
      </c>
      <c r="V18" s="2">
        <v>95.048400000000001</v>
      </c>
      <c r="W18" s="2">
        <v>95.310400000000001</v>
      </c>
      <c r="X18" s="2">
        <f t="shared" si="0"/>
        <v>94.974399999999989</v>
      </c>
      <c r="Y18" s="2">
        <f t="shared" si="4"/>
        <v>0.56281923245483612</v>
      </c>
      <c r="Z18" s="2">
        <f t="shared" si="1"/>
        <v>0.59260098769230041</v>
      </c>
      <c r="AA18" s="2">
        <f t="shared" si="2"/>
        <v>94.081100000000006</v>
      </c>
      <c r="AB18" s="2">
        <f t="shared" si="3"/>
        <v>96.070700000000002</v>
      </c>
    </row>
    <row r="19" spans="1:28" x14ac:dyDescent="0.25">
      <c r="A19" t="s">
        <v>28</v>
      </c>
      <c r="B19" t="s">
        <v>37</v>
      </c>
      <c r="C19" t="s">
        <v>35</v>
      </c>
      <c r="D19" s="2">
        <v>0.25259999999999999</v>
      </c>
      <c r="E19" s="2">
        <v>0.2145</v>
      </c>
      <c r="F19" s="2">
        <v>0.23680000000000001</v>
      </c>
      <c r="G19" s="2">
        <v>0.214</v>
      </c>
      <c r="H19" s="2">
        <v>0.22370000000000001</v>
      </c>
      <c r="I19" s="2">
        <v>0.21909999999999999</v>
      </c>
      <c r="J19" s="2">
        <v>0.23749999999999999</v>
      </c>
      <c r="K19" s="2">
        <v>0.23200000000000001</v>
      </c>
      <c r="L19" s="2">
        <v>0.22589999999999999</v>
      </c>
      <c r="M19" s="2">
        <v>0.22919999999999999</v>
      </c>
      <c r="N19" s="2">
        <v>0.22639999999999999</v>
      </c>
      <c r="O19" s="2">
        <v>0.2208</v>
      </c>
      <c r="P19" s="2">
        <v>0.2321</v>
      </c>
      <c r="Q19" s="2">
        <v>0.2379</v>
      </c>
      <c r="R19" s="2">
        <v>0.224</v>
      </c>
      <c r="S19" s="2">
        <v>0.23430000000000001</v>
      </c>
      <c r="T19" s="2">
        <v>0.24179999999999999</v>
      </c>
      <c r="U19" s="2">
        <v>0.23530000000000001</v>
      </c>
      <c r="V19" s="2">
        <v>0.23880000000000001</v>
      </c>
      <c r="W19" s="2">
        <v>0.2402</v>
      </c>
      <c r="X19" s="2">
        <f t="shared" si="0"/>
        <v>0.23084500000000002</v>
      </c>
      <c r="Y19" s="2">
        <f t="shared" si="4"/>
        <v>9.84856254539343E-3</v>
      </c>
      <c r="Z19" s="2">
        <f t="shared" si="1"/>
        <v>4.2663096646639209</v>
      </c>
      <c r="AA19" s="2">
        <f t="shared" si="2"/>
        <v>0.214</v>
      </c>
      <c r="AB19" s="2">
        <f t="shared" si="3"/>
        <v>0.25259999999999999</v>
      </c>
    </row>
    <row r="20" spans="1:28" x14ac:dyDescent="0.25">
      <c r="A20" t="s">
        <v>28</v>
      </c>
      <c r="B20" t="s">
        <v>38</v>
      </c>
      <c r="C20" t="s">
        <v>30</v>
      </c>
      <c r="D20" s="2">
        <v>0.68059999999999998</v>
      </c>
      <c r="E20" s="2">
        <v>0.66739999999999999</v>
      </c>
      <c r="F20" s="2">
        <v>0.66049999999999998</v>
      </c>
      <c r="G20" s="2">
        <v>0.63849999999999996</v>
      </c>
      <c r="H20" s="2">
        <v>0.67179999999999995</v>
      </c>
      <c r="I20" s="2">
        <v>0.6452</v>
      </c>
      <c r="J20" s="2">
        <v>0.66439999999999999</v>
      </c>
      <c r="K20" s="2">
        <v>0.63639999999999997</v>
      </c>
      <c r="L20" s="2">
        <v>0.63500000000000001</v>
      </c>
      <c r="M20" s="2">
        <v>0.65959999999999996</v>
      </c>
      <c r="N20" s="2">
        <v>0.65010000000000001</v>
      </c>
      <c r="O20" s="2">
        <v>0.62290000000000001</v>
      </c>
      <c r="P20" s="2">
        <v>0.66639999999999999</v>
      </c>
      <c r="Q20" s="2">
        <v>0.65159999999999996</v>
      </c>
      <c r="R20" s="2">
        <v>0.63300000000000001</v>
      </c>
      <c r="S20" s="2">
        <v>0.64510000000000001</v>
      </c>
      <c r="T20" s="2">
        <v>0.65880000000000005</v>
      </c>
      <c r="U20" s="2">
        <v>0.62919999999999998</v>
      </c>
      <c r="V20" s="2">
        <v>0.67049999999999998</v>
      </c>
      <c r="W20" s="2">
        <v>0.65810000000000002</v>
      </c>
      <c r="X20" s="2">
        <f t="shared" si="0"/>
        <v>0.65225500000000003</v>
      </c>
      <c r="Y20" s="2">
        <f t="shared" si="4"/>
        <v>1.6063311417145919E-2</v>
      </c>
      <c r="Z20" s="2">
        <f t="shared" si="1"/>
        <v>2.4627348839251395</v>
      </c>
      <c r="AA20" s="2">
        <f t="shared" si="2"/>
        <v>0.62290000000000001</v>
      </c>
      <c r="AB20" s="2">
        <f t="shared" si="3"/>
        <v>0.68059999999999998</v>
      </c>
    </row>
    <row r="21" spans="1:28" x14ac:dyDescent="0.25">
      <c r="A21" t="s">
        <v>28</v>
      </c>
      <c r="B21" t="s">
        <v>38</v>
      </c>
      <c r="C21" t="s">
        <v>31</v>
      </c>
      <c r="D21" s="2">
        <v>0.83020000000000005</v>
      </c>
      <c r="E21" s="2">
        <v>0.89780000000000004</v>
      </c>
      <c r="F21" s="2">
        <v>0.88790000000000002</v>
      </c>
      <c r="G21" s="2">
        <v>0.90959999999999996</v>
      </c>
      <c r="H21" s="2">
        <v>0.87649999999999995</v>
      </c>
      <c r="I21" s="2">
        <v>0.87239999999999995</v>
      </c>
      <c r="J21" s="2">
        <v>0.86050000000000004</v>
      </c>
      <c r="K21" s="2">
        <v>0.86729999999999996</v>
      </c>
      <c r="L21" s="2">
        <v>0.82469999999999999</v>
      </c>
      <c r="M21" s="2">
        <v>0.79710000000000003</v>
      </c>
      <c r="N21" s="2">
        <v>0.83479999999999999</v>
      </c>
      <c r="O21" s="2">
        <v>0.90080000000000005</v>
      </c>
      <c r="P21" s="2">
        <v>0.86270000000000002</v>
      </c>
      <c r="Q21" s="2">
        <v>0.79610000000000003</v>
      </c>
      <c r="R21" s="2">
        <v>0.90969999999999995</v>
      </c>
      <c r="S21" s="2">
        <v>0.89700000000000002</v>
      </c>
      <c r="T21" s="2">
        <v>0.8508</v>
      </c>
      <c r="U21" s="2">
        <v>0.84340000000000004</v>
      </c>
      <c r="V21" s="2">
        <v>0.85060000000000002</v>
      </c>
      <c r="W21" s="2">
        <v>0.91020000000000001</v>
      </c>
      <c r="X21" s="2">
        <f t="shared" si="0"/>
        <v>0.86400500000000002</v>
      </c>
      <c r="Y21" s="2">
        <f t="shared" si="4"/>
        <v>3.5625663059388128E-2</v>
      </c>
      <c r="Z21" s="2">
        <f t="shared" si="1"/>
        <v>4.1233167700867623</v>
      </c>
      <c r="AA21" s="2">
        <f t="shared" si="2"/>
        <v>0.79610000000000003</v>
      </c>
      <c r="AB21" s="2">
        <f t="shared" si="3"/>
        <v>0.91020000000000001</v>
      </c>
    </row>
    <row r="22" spans="1:28" x14ac:dyDescent="0.25">
      <c r="A22" t="s">
        <v>28</v>
      </c>
      <c r="B22" t="s">
        <v>38</v>
      </c>
      <c r="C22" t="s">
        <v>32</v>
      </c>
      <c r="D22" s="2">
        <v>5.4988999999999999</v>
      </c>
      <c r="E22" s="2">
        <v>5.6668000000000003</v>
      </c>
      <c r="F22" s="2">
        <v>5.6150000000000002</v>
      </c>
      <c r="G22" s="2">
        <v>5.6260000000000003</v>
      </c>
      <c r="H22" s="2">
        <v>5.5688000000000004</v>
      </c>
      <c r="I22" s="2">
        <v>5.5286</v>
      </c>
      <c r="J22" s="2">
        <v>5.2041000000000004</v>
      </c>
      <c r="K22" s="2">
        <v>5.3514999999999997</v>
      </c>
      <c r="L22" s="2">
        <v>5.3659999999999997</v>
      </c>
      <c r="M22" s="2">
        <v>5.516</v>
      </c>
      <c r="N22" s="2">
        <v>5.8140999999999998</v>
      </c>
      <c r="O22" s="2">
        <v>5.4810999999999996</v>
      </c>
      <c r="P22" s="2">
        <v>5.5339</v>
      </c>
      <c r="Q22" s="2">
        <v>5.28</v>
      </c>
      <c r="R22" s="2">
        <v>5.3525999999999998</v>
      </c>
      <c r="S22" s="2">
        <v>5.3483999999999998</v>
      </c>
      <c r="T22" s="2">
        <v>5.5172999999999996</v>
      </c>
      <c r="U22" s="2">
        <v>5.6070000000000002</v>
      </c>
      <c r="V22" s="2">
        <v>5.8319999999999999</v>
      </c>
      <c r="W22" s="2">
        <v>5.5898000000000003</v>
      </c>
      <c r="X22" s="2">
        <f t="shared" si="0"/>
        <v>5.5148950000000001</v>
      </c>
      <c r="Y22" s="2">
        <f t="shared" si="4"/>
        <v>0.16370232443772995</v>
      </c>
      <c r="Z22" s="2">
        <f t="shared" si="1"/>
        <v>2.9683670212711202</v>
      </c>
      <c r="AA22" s="2">
        <f t="shared" si="2"/>
        <v>5.2041000000000004</v>
      </c>
      <c r="AB22" s="2">
        <f t="shared" si="3"/>
        <v>5.8319999999999999</v>
      </c>
    </row>
    <row r="23" spans="1:28" x14ac:dyDescent="0.25">
      <c r="A23" t="s">
        <v>28</v>
      </c>
      <c r="B23" t="s">
        <v>38</v>
      </c>
      <c r="C23" t="s">
        <v>33</v>
      </c>
      <c r="D23" s="2">
        <v>0.88670000000000004</v>
      </c>
      <c r="E23" s="2">
        <v>0.88739999999999997</v>
      </c>
      <c r="F23" s="2">
        <v>0.8891</v>
      </c>
      <c r="G23" s="2">
        <v>0.88639999999999997</v>
      </c>
      <c r="H23" s="2">
        <v>0.89129999999999998</v>
      </c>
      <c r="I23" s="2">
        <v>0.88629999999999998</v>
      </c>
      <c r="J23" s="2">
        <v>0.88619999999999999</v>
      </c>
      <c r="K23" s="2">
        <v>0.88880000000000003</v>
      </c>
      <c r="L23" s="2">
        <v>0.8841</v>
      </c>
      <c r="M23" s="2">
        <v>0.89100000000000001</v>
      </c>
      <c r="N23" s="2">
        <v>0.89270000000000005</v>
      </c>
      <c r="O23" s="2">
        <v>0.89070000000000005</v>
      </c>
      <c r="P23" s="2">
        <v>0.88770000000000004</v>
      </c>
      <c r="Q23" s="2">
        <v>0.88780000000000003</v>
      </c>
      <c r="R23" s="2">
        <v>0.89559999999999995</v>
      </c>
      <c r="S23" s="2">
        <v>0.88380000000000003</v>
      </c>
      <c r="T23" s="2">
        <v>0.89159999999999995</v>
      </c>
      <c r="U23" s="2">
        <v>0.89590000000000003</v>
      </c>
      <c r="V23" s="2">
        <v>0.89190000000000003</v>
      </c>
      <c r="W23" s="2">
        <v>0.88319999999999999</v>
      </c>
      <c r="X23" s="2">
        <f t="shared" si="0"/>
        <v>0.88891000000000009</v>
      </c>
      <c r="Y23" s="2">
        <f t="shared" si="4"/>
        <v>3.6248992726477399E-3</v>
      </c>
      <c r="Z23" s="2">
        <f t="shared" si="1"/>
        <v>0.40779148312514646</v>
      </c>
      <c r="AA23" s="2">
        <f t="shared" si="2"/>
        <v>0.88319999999999999</v>
      </c>
      <c r="AB23" s="2">
        <f t="shared" si="3"/>
        <v>0.89590000000000003</v>
      </c>
    </row>
    <row r="24" spans="1:28" x14ac:dyDescent="0.25">
      <c r="A24" t="s">
        <v>28</v>
      </c>
      <c r="B24" t="s">
        <v>38</v>
      </c>
      <c r="C24" t="s">
        <v>34</v>
      </c>
      <c r="D24" s="2">
        <v>94.419899999999998</v>
      </c>
      <c r="E24" s="2">
        <v>94.344499999999996</v>
      </c>
      <c r="F24" s="2">
        <v>94.3065</v>
      </c>
      <c r="G24" s="2">
        <v>94.736699999999999</v>
      </c>
      <c r="H24" s="2">
        <v>96.233699999999999</v>
      </c>
      <c r="I24" s="2">
        <v>94.513499999999993</v>
      </c>
      <c r="J24" s="2">
        <v>94.752399999999994</v>
      </c>
      <c r="K24" s="2">
        <v>94.715699999999998</v>
      </c>
      <c r="L24" s="2">
        <v>93.682599999999994</v>
      </c>
      <c r="M24" s="2">
        <v>95.685400000000001</v>
      </c>
      <c r="N24" s="2">
        <v>94.171599999999998</v>
      </c>
      <c r="O24" s="2">
        <v>93.262699999999995</v>
      </c>
      <c r="P24" s="2">
        <v>93.732200000000006</v>
      </c>
      <c r="Q24" s="2">
        <v>96.274600000000007</v>
      </c>
      <c r="R24" s="2">
        <v>95.055599999999998</v>
      </c>
      <c r="S24" s="2">
        <v>93.676599999999993</v>
      </c>
      <c r="T24" s="2">
        <v>95.201300000000003</v>
      </c>
      <c r="U24" s="2">
        <v>94.656599999999997</v>
      </c>
      <c r="V24" s="2">
        <v>93.975800000000007</v>
      </c>
      <c r="W24" s="2">
        <v>96.238100000000003</v>
      </c>
      <c r="X24" s="2">
        <f t="shared" si="0"/>
        <v>94.681799999999981</v>
      </c>
      <c r="Y24" s="2">
        <f t="shared" si="4"/>
        <v>0.88343730543348797</v>
      </c>
      <c r="Z24" s="2">
        <f t="shared" si="1"/>
        <v>0.93305926316724874</v>
      </c>
      <c r="AA24" s="2">
        <f t="shared" si="2"/>
        <v>93.262699999999995</v>
      </c>
      <c r="AB24" s="2">
        <f t="shared" si="3"/>
        <v>96.274600000000007</v>
      </c>
    </row>
    <row r="25" spans="1:28" x14ac:dyDescent="0.25">
      <c r="A25" t="s">
        <v>28</v>
      </c>
      <c r="B25" t="s">
        <v>38</v>
      </c>
      <c r="C25" t="s">
        <v>35</v>
      </c>
      <c r="D25" s="2">
        <v>0.2034</v>
      </c>
      <c r="E25" s="2">
        <v>0.19570000000000001</v>
      </c>
      <c r="F25" s="2">
        <v>0.2089</v>
      </c>
      <c r="G25" s="2">
        <v>0.22189999999999999</v>
      </c>
      <c r="H25" s="2">
        <v>0.21740000000000001</v>
      </c>
      <c r="I25" s="2">
        <v>0.21060000000000001</v>
      </c>
      <c r="J25" s="2">
        <v>0.21129999999999999</v>
      </c>
      <c r="K25" s="2">
        <v>0.2142</v>
      </c>
      <c r="L25" s="2">
        <v>0.222</v>
      </c>
      <c r="M25" s="2">
        <v>0.2263</v>
      </c>
      <c r="N25" s="2">
        <v>0.2157</v>
      </c>
      <c r="O25" s="2">
        <v>0.19070000000000001</v>
      </c>
      <c r="P25" s="2">
        <v>0.23069999999999999</v>
      </c>
      <c r="Q25" s="2">
        <v>0.19969999999999999</v>
      </c>
      <c r="R25" s="2">
        <v>0.22159999999999999</v>
      </c>
      <c r="S25" s="2">
        <v>0.23200000000000001</v>
      </c>
      <c r="T25" s="2">
        <v>0.21759999999999999</v>
      </c>
      <c r="U25" s="2">
        <v>0.21659999999999999</v>
      </c>
      <c r="V25" s="2">
        <v>0.2082</v>
      </c>
      <c r="W25" s="2">
        <v>0.21659999999999999</v>
      </c>
      <c r="X25" s="2">
        <f t="shared" si="0"/>
        <v>0.21405500000000002</v>
      </c>
      <c r="Y25" s="2">
        <f t="shared" si="4"/>
        <v>1.0887920636626336E-2</v>
      </c>
      <c r="Z25" s="2">
        <f t="shared" si="1"/>
        <v>5.0865061019954378</v>
      </c>
      <c r="AA25" s="2">
        <f t="shared" si="2"/>
        <v>0.19070000000000001</v>
      </c>
      <c r="AB25" s="2">
        <f t="shared" si="3"/>
        <v>0.23200000000000001</v>
      </c>
    </row>
    <row r="26" spans="1:28" x14ac:dyDescent="0.25">
      <c r="A26" t="s">
        <v>28</v>
      </c>
      <c r="B26" t="s">
        <v>39</v>
      </c>
      <c r="C26" t="s">
        <v>30</v>
      </c>
      <c r="D26" s="2">
        <v>0.58209999999999995</v>
      </c>
      <c r="E26" s="2">
        <v>0.62609999999999999</v>
      </c>
      <c r="F26" s="2">
        <v>0.62039999999999995</v>
      </c>
      <c r="G26" s="2">
        <v>0.60489999999999999</v>
      </c>
      <c r="H26" s="2">
        <v>0.61339999999999995</v>
      </c>
      <c r="I26" s="2">
        <v>0.60019999999999996</v>
      </c>
      <c r="J26" s="2">
        <v>0.61770000000000003</v>
      </c>
      <c r="K26" s="2">
        <v>0.62270000000000003</v>
      </c>
      <c r="L26" s="2">
        <v>0.59560000000000002</v>
      </c>
      <c r="M26" s="2">
        <v>0.58699999999999997</v>
      </c>
      <c r="N26" s="2">
        <v>0.56089999999999995</v>
      </c>
      <c r="O26" s="2">
        <v>0.60109999999999997</v>
      </c>
      <c r="P26" s="2">
        <v>0.6089</v>
      </c>
      <c r="Q26" s="2">
        <v>0.65459999999999996</v>
      </c>
      <c r="R26" s="2">
        <v>0.61799999999999999</v>
      </c>
      <c r="S26" s="2">
        <v>0.58730000000000004</v>
      </c>
      <c r="T26" s="2">
        <v>0.61750000000000005</v>
      </c>
      <c r="U26" s="2">
        <v>0.58220000000000005</v>
      </c>
      <c r="V26" s="2">
        <v>0.60709999999999997</v>
      </c>
      <c r="W26" s="2">
        <v>0.5978</v>
      </c>
      <c r="X26" s="2">
        <f t="shared" si="0"/>
        <v>0.60527500000000001</v>
      </c>
      <c r="Y26" s="2">
        <f t="shared" si="4"/>
        <v>2.0307941796253011E-2</v>
      </c>
      <c r="Z26" s="2">
        <f t="shared" si="1"/>
        <v>3.3551595219120252</v>
      </c>
      <c r="AA26" s="2">
        <f t="shared" si="2"/>
        <v>0.56089999999999995</v>
      </c>
      <c r="AB26" s="2">
        <f t="shared" si="3"/>
        <v>0.65459999999999996</v>
      </c>
    </row>
    <row r="27" spans="1:28" x14ac:dyDescent="0.25">
      <c r="A27" t="s">
        <v>28</v>
      </c>
      <c r="B27" t="s">
        <v>39</v>
      </c>
      <c r="C27" t="s">
        <v>31</v>
      </c>
      <c r="D27" s="2">
        <v>0.83530000000000004</v>
      </c>
      <c r="E27" s="2">
        <v>0.7974</v>
      </c>
      <c r="F27" s="2">
        <v>0.76819999999999999</v>
      </c>
      <c r="G27" s="2">
        <v>0.81940000000000002</v>
      </c>
      <c r="H27" s="2">
        <v>0.81100000000000005</v>
      </c>
      <c r="I27" s="2">
        <v>0.77549999999999997</v>
      </c>
      <c r="J27" s="2">
        <v>0.81530000000000002</v>
      </c>
      <c r="K27" s="2">
        <v>0.78949999999999998</v>
      </c>
      <c r="L27" s="2">
        <v>0.81379999999999997</v>
      </c>
      <c r="M27" s="2">
        <v>0.81220000000000003</v>
      </c>
      <c r="N27" s="2">
        <v>0.77500000000000002</v>
      </c>
      <c r="O27" s="2">
        <v>0.8044</v>
      </c>
      <c r="P27" s="2">
        <v>0.79590000000000005</v>
      </c>
      <c r="Q27" s="2">
        <v>0.80089999999999995</v>
      </c>
      <c r="R27" s="2">
        <v>0.81020000000000003</v>
      </c>
      <c r="S27" s="2">
        <v>0.76770000000000005</v>
      </c>
      <c r="T27" s="2">
        <v>0.80879999999999996</v>
      </c>
      <c r="U27" s="2">
        <v>0.82989999999999997</v>
      </c>
      <c r="V27" s="2">
        <v>0.82189999999999996</v>
      </c>
      <c r="W27" s="2">
        <v>0.77810000000000001</v>
      </c>
      <c r="X27" s="2">
        <f t="shared" si="0"/>
        <v>0.80151999999999979</v>
      </c>
      <c r="Y27" s="2">
        <f t="shared" si="4"/>
        <v>2.0182185996044811E-2</v>
      </c>
      <c r="Z27" s="2">
        <f t="shared" si="1"/>
        <v>2.5179890702720851</v>
      </c>
      <c r="AA27" s="2">
        <f t="shared" si="2"/>
        <v>0.76770000000000005</v>
      </c>
      <c r="AB27" s="2">
        <f t="shared" si="3"/>
        <v>0.83530000000000004</v>
      </c>
    </row>
    <row r="28" spans="1:28" x14ac:dyDescent="0.25">
      <c r="A28" t="s">
        <v>28</v>
      </c>
      <c r="B28" t="s">
        <v>39</v>
      </c>
      <c r="C28" t="s">
        <v>32</v>
      </c>
      <c r="D28" s="2">
        <v>5.0477999999999996</v>
      </c>
      <c r="E28" s="2">
        <v>5.1041999999999996</v>
      </c>
      <c r="F28" s="2">
        <v>5.2135999999999996</v>
      </c>
      <c r="G28" s="2">
        <v>5.1372999999999998</v>
      </c>
      <c r="H28" s="2">
        <v>5.3377999999999997</v>
      </c>
      <c r="I28" s="2">
        <v>5.2202000000000002</v>
      </c>
      <c r="J28" s="2">
        <v>5.3117000000000001</v>
      </c>
      <c r="K28" s="2">
        <v>4.6772</v>
      </c>
      <c r="L28" s="2">
        <v>5.0877999999999997</v>
      </c>
      <c r="M28" s="2">
        <v>5.3425000000000002</v>
      </c>
      <c r="N28" s="2">
        <v>5.1295000000000002</v>
      </c>
      <c r="O28" s="2">
        <v>4.9656000000000002</v>
      </c>
      <c r="P28" s="2">
        <v>4.9661999999999997</v>
      </c>
      <c r="Q28" s="2">
        <v>4.7199</v>
      </c>
      <c r="R28" s="2">
        <v>5.0991999999999997</v>
      </c>
      <c r="S28" s="2">
        <v>5.2840999999999996</v>
      </c>
      <c r="T28" s="2">
        <v>5.0453999999999999</v>
      </c>
      <c r="U28" s="2">
        <v>5.0536000000000003</v>
      </c>
      <c r="V28" s="2">
        <v>5.2348999999999997</v>
      </c>
      <c r="W28" s="2">
        <v>5.0423999999999998</v>
      </c>
      <c r="X28" s="2">
        <f t="shared" si="0"/>
        <v>5.1010449999999992</v>
      </c>
      <c r="Y28" s="2">
        <f t="shared" si="4"/>
        <v>0.17953169922416426</v>
      </c>
      <c r="Z28" s="2">
        <f t="shared" si="1"/>
        <v>3.5195082424123738</v>
      </c>
      <c r="AA28" s="2">
        <f t="shared" si="2"/>
        <v>4.6772</v>
      </c>
      <c r="AB28" s="2">
        <f t="shared" si="3"/>
        <v>5.3425000000000002</v>
      </c>
    </row>
    <row r="29" spans="1:28" x14ac:dyDescent="0.25">
      <c r="A29" t="s">
        <v>28</v>
      </c>
      <c r="B29" t="s">
        <v>39</v>
      </c>
      <c r="C29" t="s">
        <v>33</v>
      </c>
      <c r="D29" s="2">
        <v>0.90169999999999995</v>
      </c>
      <c r="E29" s="2">
        <v>0.89559999999999995</v>
      </c>
      <c r="F29" s="2">
        <v>0.9022</v>
      </c>
      <c r="G29" s="2">
        <v>0.89990000000000003</v>
      </c>
      <c r="H29" s="2">
        <v>0.90369999999999995</v>
      </c>
      <c r="I29" s="2">
        <v>0.89249999999999996</v>
      </c>
      <c r="J29" s="2">
        <v>0.90910000000000002</v>
      </c>
      <c r="K29" s="2">
        <v>0.90049999999999997</v>
      </c>
      <c r="L29" s="2">
        <v>0.89780000000000004</v>
      </c>
      <c r="M29" s="2">
        <v>0.90200000000000002</v>
      </c>
      <c r="N29" s="2">
        <v>0.89149999999999996</v>
      </c>
      <c r="O29" s="2">
        <v>0.89329999999999998</v>
      </c>
      <c r="P29" s="2">
        <v>0.89590000000000003</v>
      </c>
      <c r="Q29" s="2">
        <v>0.89280000000000004</v>
      </c>
      <c r="R29" s="2">
        <v>0.8931</v>
      </c>
      <c r="S29" s="2">
        <v>0.89749999999999996</v>
      </c>
      <c r="T29" s="2">
        <v>0.89790000000000003</v>
      </c>
      <c r="U29" s="2">
        <v>0.89400000000000002</v>
      </c>
      <c r="V29" s="2">
        <v>0.89759999999999995</v>
      </c>
      <c r="W29" s="2">
        <v>0.90200000000000002</v>
      </c>
      <c r="X29" s="2">
        <f t="shared" si="0"/>
        <v>0.89802999999999999</v>
      </c>
      <c r="Y29" s="2">
        <f t="shared" si="4"/>
        <v>4.5948598283413709E-3</v>
      </c>
      <c r="Z29" s="2">
        <f t="shared" si="1"/>
        <v>0.51165994770123169</v>
      </c>
      <c r="AA29" s="2">
        <f t="shared" si="2"/>
        <v>0.89149999999999996</v>
      </c>
      <c r="AB29" s="2">
        <f t="shared" si="3"/>
        <v>0.90910000000000002</v>
      </c>
    </row>
    <row r="30" spans="1:28" x14ac:dyDescent="0.25">
      <c r="A30" t="s">
        <v>28</v>
      </c>
      <c r="B30" t="s">
        <v>39</v>
      </c>
      <c r="C30" t="s">
        <v>34</v>
      </c>
      <c r="D30" s="2">
        <v>94.476799999999997</v>
      </c>
      <c r="E30" s="2">
        <v>95.347499999999997</v>
      </c>
      <c r="F30" s="2">
        <v>94.328299999999999</v>
      </c>
      <c r="G30" s="2">
        <v>94.556700000000006</v>
      </c>
      <c r="H30" s="2">
        <v>95.114500000000007</v>
      </c>
      <c r="I30" s="2">
        <v>95.167900000000003</v>
      </c>
      <c r="J30" s="2">
        <v>94.846999999999994</v>
      </c>
      <c r="K30" s="2">
        <v>94.954599999999999</v>
      </c>
      <c r="L30" s="2">
        <v>94.395600000000002</v>
      </c>
      <c r="M30" s="2">
        <v>93.748999999999995</v>
      </c>
      <c r="N30" s="2">
        <v>93.937799999999996</v>
      </c>
      <c r="O30" s="2">
        <v>95.285799999999995</v>
      </c>
      <c r="P30" s="2">
        <v>95.247399999999999</v>
      </c>
      <c r="Q30" s="2">
        <v>95.512900000000002</v>
      </c>
      <c r="R30" s="2">
        <v>94.6798</v>
      </c>
      <c r="S30" s="2">
        <v>96.137200000000007</v>
      </c>
      <c r="T30" s="2">
        <v>94.859200000000001</v>
      </c>
      <c r="U30" s="2">
        <v>95.024100000000004</v>
      </c>
      <c r="V30" s="2">
        <v>95.222800000000007</v>
      </c>
      <c r="W30" s="2">
        <v>94.359099999999998</v>
      </c>
      <c r="X30" s="2">
        <f t="shared" si="0"/>
        <v>94.860200000000006</v>
      </c>
      <c r="Y30" s="2">
        <f t="shared" si="4"/>
        <v>0.56471484560095231</v>
      </c>
      <c r="Z30" s="2">
        <f t="shared" si="1"/>
        <v>0.59531272925942835</v>
      </c>
      <c r="AA30" s="2">
        <f t="shared" si="2"/>
        <v>93.748999999999995</v>
      </c>
      <c r="AB30" s="2">
        <f t="shared" si="3"/>
        <v>96.137200000000007</v>
      </c>
    </row>
    <row r="31" spans="1:28" x14ac:dyDescent="0.25">
      <c r="A31" t="s">
        <v>28</v>
      </c>
      <c r="B31" t="s">
        <v>39</v>
      </c>
      <c r="C31" t="s">
        <v>35</v>
      </c>
      <c r="D31" s="2">
        <v>0.20880000000000001</v>
      </c>
      <c r="E31" s="2">
        <v>0.1855</v>
      </c>
      <c r="F31" s="2">
        <v>0.1966</v>
      </c>
      <c r="G31" s="2">
        <v>0.1993</v>
      </c>
      <c r="H31" s="2">
        <v>0.1915</v>
      </c>
      <c r="I31" s="2">
        <v>0.17460000000000001</v>
      </c>
      <c r="J31" s="2">
        <v>0.18729999999999999</v>
      </c>
      <c r="K31" s="2">
        <v>0.18329999999999999</v>
      </c>
      <c r="L31" s="2">
        <v>0.1948</v>
      </c>
      <c r="M31" s="2">
        <v>0.187</v>
      </c>
      <c r="N31" s="2">
        <v>0.1845</v>
      </c>
      <c r="O31" s="2">
        <v>0.20549999999999999</v>
      </c>
      <c r="P31" s="2">
        <v>0.1925</v>
      </c>
      <c r="Q31" s="2">
        <v>0.1804</v>
      </c>
      <c r="R31" s="2">
        <v>0.19400000000000001</v>
      </c>
      <c r="S31" s="2">
        <v>0.18629999999999999</v>
      </c>
      <c r="T31" s="2">
        <v>0.20519999999999999</v>
      </c>
      <c r="U31" s="2">
        <v>0.19059999999999999</v>
      </c>
      <c r="V31" s="2">
        <v>0.18870000000000001</v>
      </c>
      <c r="W31" s="2">
        <v>0.20330000000000001</v>
      </c>
      <c r="X31" s="2">
        <f t="shared" si="0"/>
        <v>0.19198500000000002</v>
      </c>
      <c r="Y31" s="2">
        <f t="shared" si="4"/>
        <v>9.0529015412623079E-3</v>
      </c>
      <c r="Z31" s="2">
        <f t="shared" si="1"/>
        <v>4.7154212783614904</v>
      </c>
      <c r="AA31" s="2">
        <f t="shared" si="2"/>
        <v>0.17460000000000001</v>
      </c>
      <c r="AB31" s="2">
        <f t="shared" si="3"/>
        <v>0.20880000000000001</v>
      </c>
    </row>
    <row r="32" spans="1:28" x14ac:dyDescent="0.25">
      <c r="A32" t="s">
        <v>28</v>
      </c>
      <c r="B32" t="s">
        <v>40</v>
      </c>
      <c r="C32" t="s">
        <v>30</v>
      </c>
      <c r="D32" s="2">
        <v>0.54159999999999997</v>
      </c>
      <c r="E32" s="2">
        <v>0.57079999999999997</v>
      </c>
      <c r="F32" s="2">
        <v>0.5504</v>
      </c>
      <c r="G32" s="2">
        <v>0.5615</v>
      </c>
      <c r="H32" s="2">
        <v>0.53520000000000001</v>
      </c>
      <c r="I32" s="2">
        <v>0.5343</v>
      </c>
      <c r="J32" s="2">
        <v>0.52669999999999995</v>
      </c>
      <c r="K32" s="2">
        <v>0.55779999999999996</v>
      </c>
      <c r="L32" s="2">
        <v>0.58009999999999995</v>
      </c>
      <c r="M32" s="2">
        <v>0.54090000000000005</v>
      </c>
      <c r="N32" s="2">
        <v>0.55520000000000003</v>
      </c>
      <c r="O32" s="2">
        <v>0.52359999999999995</v>
      </c>
      <c r="P32" s="2">
        <v>0.5353</v>
      </c>
      <c r="Q32" s="2">
        <v>0.57379999999999998</v>
      </c>
      <c r="R32" s="2">
        <v>0.55910000000000004</v>
      </c>
      <c r="S32" s="2">
        <v>0.57589999999999997</v>
      </c>
      <c r="T32" s="2">
        <v>0.52829999999999999</v>
      </c>
      <c r="U32" s="2">
        <v>0.54510000000000003</v>
      </c>
      <c r="V32" s="2">
        <v>0.53720000000000001</v>
      </c>
      <c r="W32" s="2">
        <v>0.55820000000000003</v>
      </c>
      <c r="X32" s="2">
        <f t="shared" si="0"/>
        <v>0.54955000000000009</v>
      </c>
      <c r="Y32" s="2">
        <f t="shared" si="4"/>
        <v>1.7283655193335266E-2</v>
      </c>
      <c r="Z32" s="2">
        <f t="shared" si="1"/>
        <v>3.1450559900528181</v>
      </c>
      <c r="AA32" s="2">
        <f t="shared" si="2"/>
        <v>0.52359999999999995</v>
      </c>
      <c r="AB32" s="2">
        <f t="shared" si="3"/>
        <v>0.58009999999999995</v>
      </c>
    </row>
    <row r="33" spans="1:28" x14ac:dyDescent="0.25">
      <c r="A33" t="s">
        <v>28</v>
      </c>
      <c r="B33" t="s">
        <v>40</v>
      </c>
      <c r="C33" t="s">
        <v>31</v>
      </c>
      <c r="D33" s="2">
        <v>0.74660000000000004</v>
      </c>
      <c r="E33" s="2">
        <v>0.74019999999999997</v>
      </c>
      <c r="F33" s="2">
        <v>0.74750000000000005</v>
      </c>
      <c r="G33" s="2">
        <v>0.70750000000000002</v>
      </c>
      <c r="H33" s="2">
        <v>0.70609999999999995</v>
      </c>
      <c r="I33" s="2">
        <v>0.72519999999999996</v>
      </c>
      <c r="J33" s="2">
        <v>0.72899999999999998</v>
      </c>
      <c r="K33" s="2">
        <v>0.73229999999999995</v>
      </c>
      <c r="L33" s="2">
        <v>0.72689999999999999</v>
      </c>
      <c r="M33" s="2">
        <v>0.72019999999999995</v>
      </c>
      <c r="N33" s="2">
        <v>0.71740000000000004</v>
      </c>
      <c r="O33" s="2">
        <v>0.70569999999999999</v>
      </c>
      <c r="P33" s="2">
        <v>0.74390000000000001</v>
      </c>
      <c r="Q33" s="2">
        <v>0.73</v>
      </c>
      <c r="R33" s="2">
        <v>0.73460000000000003</v>
      </c>
      <c r="S33" s="2">
        <v>0.73280000000000001</v>
      </c>
      <c r="T33" s="2">
        <v>0.73129999999999995</v>
      </c>
      <c r="U33" s="2">
        <v>0.71550000000000002</v>
      </c>
      <c r="V33" s="2">
        <v>0.73470000000000002</v>
      </c>
      <c r="W33" s="2">
        <v>0.71250000000000002</v>
      </c>
      <c r="X33" s="2">
        <f t="shared" si="0"/>
        <v>0.72699500000000006</v>
      </c>
      <c r="Y33" s="2">
        <f t="shared" si="4"/>
        <v>1.3037253302908962E-2</v>
      </c>
      <c r="Z33" s="2">
        <f t="shared" si="1"/>
        <v>1.7933071483172458</v>
      </c>
      <c r="AA33" s="2">
        <f t="shared" si="2"/>
        <v>0.70569999999999999</v>
      </c>
      <c r="AB33" s="2">
        <f t="shared" si="3"/>
        <v>0.74750000000000005</v>
      </c>
    </row>
    <row r="34" spans="1:28" x14ac:dyDescent="0.25">
      <c r="A34" t="s">
        <v>28</v>
      </c>
      <c r="B34" t="s">
        <v>40</v>
      </c>
      <c r="C34" t="s">
        <v>32</v>
      </c>
      <c r="D34" s="2">
        <v>4.5014000000000003</v>
      </c>
      <c r="E34" s="2">
        <v>4.9471999999999996</v>
      </c>
      <c r="F34" s="2">
        <v>4.4615</v>
      </c>
      <c r="G34" s="2">
        <v>4.5296000000000003</v>
      </c>
      <c r="H34" s="2">
        <v>4.5663999999999998</v>
      </c>
      <c r="I34" s="2">
        <v>4.7161</v>
      </c>
      <c r="J34" s="2">
        <v>4.7188999999999997</v>
      </c>
      <c r="K34" s="2">
        <v>4.6692999999999998</v>
      </c>
      <c r="L34" s="2">
        <v>4.7182000000000004</v>
      </c>
      <c r="M34" s="2">
        <v>4.3215000000000003</v>
      </c>
      <c r="N34" s="2">
        <v>4.7198000000000002</v>
      </c>
      <c r="O34" s="2">
        <v>4.6567999999999996</v>
      </c>
      <c r="P34" s="2">
        <v>4.4804000000000004</v>
      </c>
      <c r="Q34" s="2">
        <v>4.8811999999999998</v>
      </c>
      <c r="R34" s="2">
        <v>4.4400000000000004</v>
      </c>
      <c r="S34" s="2">
        <v>4.4787999999999997</v>
      </c>
      <c r="T34" s="2">
        <v>4.9063999999999997</v>
      </c>
      <c r="U34" s="2">
        <v>4.5404</v>
      </c>
      <c r="V34" s="2">
        <v>4.6905999999999999</v>
      </c>
      <c r="W34" s="2">
        <v>4.6055999999999999</v>
      </c>
      <c r="X34" s="2">
        <f t="shared" ref="X34:X65" si="5">AVERAGE(D34:W34)</f>
        <v>4.6275050000000011</v>
      </c>
      <c r="Y34" s="2">
        <f t="shared" si="4"/>
        <v>0.16563708418676865</v>
      </c>
      <c r="Z34" s="2">
        <f t="shared" ref="Z34:Z65" si="6">IFERROR(Y34/ABS(X34)*100,"")</f>
        <v>3.5794036783702801</v>
      </c>
      <c r="AA34" s="2">
        <f t="shared" ref="AA34:AA65" si="7">MIN(D34:W34)</f>
        <v>4.3215000000000003</v>
      </c>
      <c r="AB34" s="2">
        <f t="shared" ref="AB34:AB65" si="8">MAX(D34:W34)</f>
        <v>4.9471999999999996</v>
      </c>
    </row>
    <row r="35" spans="1:28" x14ac:dyDescent="0.25">
      <c r="A35" t="s">
        <v>28</v>
      </c>
      <c r="B35" t="s">
        <v>40</v>
      </c>
      <c r="C35" t="s">
        <v>33</v>
      </c>
      <c r="D35" s="2">
        <v>0.9083</v>
      </c>
      <c r="E35" s="2">
        <v>0.91400000000000003</v>
      </c>
      <c r="F35" s="2">
        <v>0.90039999999999998</v>
      </c>
      <c r="G35" s="2">
        <v>0.90459999999999996</v>
      </c>
      <c r="H35" s="2">
        <v>0.90680000000000005</v>
      </c>
      <c r="I35" s="2">
        <v>0.90810000000000002</v>
      </c>
      <c r="J35" s="2">
        <v>0.90639999999999998</v>
      </c>
      <c r="K35" s="2">
        <v>0.89900000000000002</v>
      </c>
      <c r="L35" s="2">
        <v>0.91100000000000003</v>
      </c>
      <c r="M35" s="2">
        <v>0.90759999999999996</v>
      </c>
      <c r="N35" s="2">
        <v>0.91020000000000001</v>
      </c>
      <c r="O35" s="2">
        <v>0.90280000000000005</v>
      </c>
      <c r="P35" s="2">
        <v>0.90239999999999998</v>
      </c>
      <c r="Q35" s="2">
        <v>0.90890000000000004</v>
      </c>
      <c r="R35" s="2">
        <v>0.9042</v>
      </c>
      <c r="S35" s="2">
        <v>0.91369999999999996</v>
      </c>
      <c r="T35" s="2">
        <v>0.90410000000000001</v>
      </c>
      <c r="U35" s="2">
        <v>0.91190000000000004</v>
      </c>
      <c r="V35" s="2">
        <v>0.90410000000000001</v>
      </c>
      <c r="W35" s="2">
        <v>0.91169999999999995</v>
      </c>
      <c r="X35" s="2">
        <f t="shared" si="5"/>
        <v>0.90700999999999998</v>
      </c>
      <c r="Y35" s="2">
        <f t="shared" si="4"/>
        <v>4.2936795654224501E-3</v>
      </c>
      <c r="Z35" s="2">
        <f t="shared" si="6"/>
        <v>0.47338833810238584</v>
      </c>
      <c r="AA35" s="2">
        <f t="shared" si="7"/>
        <v>0.89900000000000002</v>
      </c>
      <c r="AB35" s="2">
        <f t="shared" si="8"/>
        <v>0.91400000000000003</v>
      </c>
    </row>
    <row r="36" spans="1:28" x14ac:dyDescent="0.25">
      <c r="A36" t="s">
        <v>28</v>
      </c>
      <c r="B36" t="s">
        <v>40</v>
      </c>
      <c r="C36" t="s">
        <v>34</v>
      </c>
      <c r="D36" s="2">
        <v>94.899900000000002</v>
      </c>
      <c r="E36" s="2">
        <v>93.710099999999997</v>
      </c>
      <c r="F36" s="2">
        <v>94.849800000000002</v>
      </c>
      <c r="G36" s="2">
        <v>94.707899999999995</v>
      </c>
      <c r="H36" s="2">
        <v>94.735100000000003</v>
      </c>
      <c r="I36" s="2">
        <v>94.325999999999993</v>
      </c>
      <c r="J36" s="2">
        <v>94.743300000000005</v>
      </c>
      <c r="K36" s="2">
        <v>94.827200000000005</v>
      </c>
      <c r="L36" s="2">
        <v>94.218800000000002</v>
      </c>
      <c r="M36" s="2">
        <v>93.995199999999997</v>
      </c>
      <c r="N36" s="2">
        <v>94.719899999999996</v>
      </c>
      <c r="O36" s="2">
        <v>94.372</v>
      </c>
      <c r="P36" s="2">
        <v>93.6965</v>
      </c>
      <c r="Q36" s="2">
        <v>95.134399999999999</v>
      </c>
      <c r="R36" s="2">
        <v>93.921700000000001</v>
      </c>
      <c r="S36" s="2">
        <v>94.793400000000005</v>
      </c>
      <c r="T36" s="2">
        <v>95.380899999999997</v>
      </c>
      <c r="U36" s="2">
        <v>95.283299999999997</v>
      </c>
      <c r="V36" s="2">
        <v>93.948099999999997</v>
      </c>
      <c r="W36" s="2">
        <v>93.852400000000003</v>
      </c>
      <c r="X36" s="2">
        <f t="shared" si="5"/>
        <v>94.505795000000006</v>
      </c>
      <c r="Y36" s="2">
        <f t="shared" si="4"/>
        <v>0.52220812494939051</v>
      </c>
      <c r="Z36" s="2">
        <f t="shared" si="6"/>
        <v>0.55256730547517263</v>
      </c>
      <c r="AA36" s="2">
        <f t="shared" si="7"/>
        <v>93.6965</v>
      </c>
      <c r="AB36" s="2">
        <f t="shared" si="8"/>
        <v>95.380899999999997</v>
      </c>
    </row>
    <row r="37" spans="1:28" x14ac:dyDescent="0.25">
      <c r="A37" t="s">
        <v>28</v>
      </c>
      <c r="B37" t="s">
        <v>40</v>
      </c>
      <c r="C37" t="s">
        <v>35</v>
      </c>
      <c r="D37" s="2">
        <v>0.16830000000000001</v>
      </c>
      <c r="E37" s="2">
        <v>0.18190000000000001</v>
      </c>
      <c r="F37" s="2">
        <v>0.16819999999999999</v>
      </c>
      <c r="G37" s="2">
        <v>0.18379999999999999</v>
      </c>
      <c r="H37" s="2">
        <v>0.1706</v>
      </c>
      <c r="I37" s="2">
        <v>0.16389999999999999</v>
      </c>
      <c r="J37" s="2">
        <v>0.17649999999999999</v>
      </c>
      <c r="K37" s="2">
        <v>0.1573</v>
      </c>
      <c r="L37" s="2">
        <v>0.16389999999999999</v>
      </c>
      <c r="M37" s="2">
        <v>0.1731</v>
      </c>
      <c r="N37" s="2">
        <v>0.17180000000000001</v>
      </c>
      <c r="O37" s="2">
        <v>0.17100000000000001</v>
      </c>
      <c r="P37" s="2">
        <v>0.16919999999999999</v>
      </c>
      <c r="Q37" s="2">
        <v>0.17680000000000001</v>
      </c>
      <c r="R37" s="2">
        <v>0.1663</v>
      </c>
      <c r="S37" s="2">
        <v>0.1769</v>
      </c>
      <c r="T37" s="2">
        <v>0.17460000000000001</v>
      </c>
      <c r="U37" s="2">
        <v>0.16450000000000001</v>
      </c>
      <c r="V37" s="2">
        <v>0.17929999999999999</v>
      </c>
      <c r="W37" s="2">
        <v>0.18340000000000001</v>
      </c>
      <c r="X37" s="2">
        <f t="shared" si="5"/>
        <v>0.172065</v>
      </c>
      <c r="Y37" s="2">
        <f t="shared" si="4"/>
        <v>7.147710343732093E-3</v>
      </c>
      <c r="Z37" s="2">
        <f t="shared" si="6"/>
        <v>4.1540756944945763</v>
      </c>
      <c r="AA37" s="2">
        <f t="shared" si="7"/>
        <v>0.1573</v>
      </c>
      <c r="AB37" s="2">
        <f t="shared" si="8"/>
        <v>0.18379999999999999</v>
      </c>
    </row>
    <row r="38" spans="1:28" x14ac:dyDescent="0.25">
      <c r="A38" t="s">
        <v>41</v>
      </c>
      <c r="B38" t="s">
        <v>42</v>
      </c>
      <c r="C38" t="s">
        <v>30</v>
      </c>
      <c r="D38" s="2">
        <v>0.8135</v>
      </c>
      <c r="E38" s="2">
        <v>0.8377</v>
      </c>
      <c r="F38" s="2">
        <v>0.79930000000000001</v>
      </c>
      <c r="G38" s="2">
        <v>0.7853</v>
      </c>
      <c r="H38" s="2">
        <v>0.80230000000000001</v>
      </c>
      <c r="I38" s="2">
        <v>0.8266</v>
      </c>
      <c r="J38" s="2">
        <v>0.81100000000000005</v>
      </c>
      <c r="K38" s="2">
        <v>0.7671</v>
      </c>
      <c r="L38" s="2">
        <v>0.76900000000000002</v>
      </c>
      <c r="M38" s="2">
        <v>0.78710000000000002</v>
      </c>
      <c r="N38" s="2">
        <v>0.83209999999999995</v>
      </c>
      <c r="O38" s="2">
        <v>0.79700000000000004</v>
      </c>
      <c r="P38" s="2">
        <v>0.81989999999999996</v>
      </c>
      <c r="Q38" s="2">
        <v>0.81799999999999995</v>
      </c>
      <c r="R38" s="2">
        <v>0.82379999999999998</v>
      </c>
      <c r="S38" s="2">
        <v>0.77680000000000005</v>
      </c>
      <c r="T38" s="2">
        <v>0.79239999999999999</v>
      </c>
      <c r="U38" s="2">
        <v>0.81320000000000003</v>
      </c>
      <c r="V38" s="2">
        <v>0.82</v>
      </c>
      <c r="W38" s="2">
        <v>0.78410000000000002</v>
      </c>
      <c r="X38" s="2">
        <f t="shared" si="5"/>
        <v>0.80381000000000002</v>
      </c>
      <c r="Y38" s="2">
        <f t="shared" si="4"/>
        <v>2.0928924834707624E-2</v>
      </c>
      <c r="Z38" s="2">
        <f t="shared" si="6"/>
        <v>2.6037154096997579</v>
      </c>
      <c r="AA38" s="2">
        <f t="shared" si="7"/>
        <v>0.7671</v>
      </c>
      <c r="AB38" s="2">
        <f t="shared" si="8"/>
        <v>0.8377</v>
      </c>
    </row>
    <row r="39" spans="1:28" x14ac:dyDescent="0.25">
      <c r="A39" t="s">
        <v>41</v>
      </c>
      <c r="B39" t="s">
        <v>42</v>
      </c>
      <c r="C39" t="s">
        <v>31</v>
      </c>
      <c r="D39" s="2">
        <v>1.0533999999999999</v>
      </c>
      <c r="E39" s="2">
        <v>1.0722</v>
      </c>
      <c r="F39" s="2">
        <v>1.0976999999999999</v>
      </c>
      <c r="G39" s="2">
        <v>1.0984</v>
      </c>
      <c r="H39" s="2">
        <v>1.0370999999999999</v>
      </c>
      <c r="I39" s="2">
        <v>1.0627</v>
      </c>
      <c r="J39" s="2">
        <v>1.0318000000000001</v>
      </c>
      <c r="K39" s="2">
        <v>1.0307999999999999</v>
      </c>
      <c r="L39" s="2">
        <v>1.1120000000000001</v>
      </c>
      <c r="M39" s="2">
        <v>1.0730999999999999</v>
      </c>
      <c r="N39" s="2">
        <v>1.0867</v>
      </c>
      <c r="O39" s="2">
        <v>0.98399999999999999</v>
      </c>
      <c r="P39" s="2">
        <v>1.0974999999999999</v>
      </c>
      <c r="Q39" s="2">
        <v>1.1046</v>
      </c>
      <c r="R39" s="2">
        <v>1.0746</v>
      </c>
      <c r="S39" s="2">
        <v>1.0575000000000001</v>
      </c>
      <c r="T39" s="2">
        <v>1.0681</v>
      </c>
      <c r="U39" s="2">
        <v>1.0978000000000001</v>
      </c>
      <c r="V39" s="2">
        <v>1.0555000000000001</v>
      </c>
      <c r="W39" s="2">
        <v>1.0439000000000001</v>
      </c>
      <c r="X39" s="2">
        <f t="shared" si="5"/>
        <v>1.06697</v>
      </c>
      <c r="Y39" s="2">
        <f t="shared" si="4"/>
        <v>3.1663894430823201E-2</v>
      </c>
      <c r="Z39" s="2">
        <f t="shared" si="6"/>
        <v>2.9676461785076618</v>
      </c>
      <c r="AA39" s="2">
        <f t="shared" si="7"/>
        <v>0.98399999999999999</v>
      </c>
      <c r="AB39" s="2">
        <f t="shared" si="8"/>
        <v>1.1120000000000001</v>
      </c>
    </row>
    <row r="40" spans="1:28" x14ac:dyDescent="0.25">
      <c r="A40" t="s">
        <v>41</v>
      </c>
      <c r="B40" t="s">
        <v>42</v>
      </c>
      <c r="C40" t="s">
        <v>32</v>
      </c>
      <c r="D40" s="2">
        <v>6.8128000000000002</v>
      </c>
      <c r="E40" s="2">
        <v>6.4696999999999996</v>
      </c>
      <c r="F40" s="2">
        <v>6.7408999999999999</v>
      </c>
      <c r="G40" s="2">
        <v>6.5984999999999996</v>
      </c>
      <c r="H40" s="2">
        <v>7.0025000000000004</v>
      </c>
      <c r="I40" s="2">
        <v>6.9314999999999998</v>
      </c>
      <c r="J40" s="2">
        <v>7.3497000000000003</v>
      </c>
      <c r="K40" s="2">
        <v>6.7469000000000001</v>
      </c>
      <c r="L40" s="2">
        <v>6.6737000000000002</v>
      </c>
      <c r="M40" s="2">
        <v>6.6410999999999998</v>
      </c>
      <c r="N40" s="2">
        <v>6.4002999999999997</v>
      </c>
      <c r="O40" s="2">
        <v>6.4881000000000002</v>
      </c>
      <c r="P40" s="2">
        <v>6.6517999999999997</v>
      </c>
      <c r="Q40" s="2">
        <v>6.5454999999999997</v>
      </c>
      <c r="R40" s="2">
        <v>6.5967000000000002</v>
      </c>
      <c r="S40" s="2">
        <v>6.7016999999999998</v>
      </c>
      <c r="T40" s="2">
        <v>7.0644</v>
      </c>
      <c r="U40" s="2">
        <v>6.7846000000000002</v>
      </c>
      <c r="V40" s="2">
        <v>7.2428999999999997</v>
      </c>
      <c r="W40" s="2">
        <v>6.6981000000000002</v>
      </c>
      <c r="X40" s="2">
        <f t="shared" si="5"/>
        <v>6.7570700000000006</v>
      </c>
      <c r="Y40" s="2">
        <f t="shared" si="4"/>
        <v>0.25051987020677841</v>
      </c>
      <c r="Z40" s="2">
        <f t="shared" si="6"/>
        <v>3.7075221983312057</v>
      </c>
      <c r="AA40" s="2">
        <f t="shared" si="7"/>
        <v>6.4002999999999997</v>
      </c>
      <c r="AB40" s="2">
        <f t="shared" si="8"/>
        <v>7.3497000000000003</v>
      </c>
    </row>
    <row r="41" spans="1:28" x14ac:dyDescent="0.25">
      <c r="A41" t="s">
        <v>41</v>
      </c>
      <c r="B41" t="s">
        <v>42</v>
      </c>
      <c r="C41" t="s">
        <v>33</v>
      </c>
      <c r="D41" s="2">
        <v>0.86219999999999997</v>
      </c>
      <c r="E41" s="2">
        <v>0.86380000000000001</v>
      </c>
      <c r="F41" s="2">
        <v>0.85299999999999998</v>
      </c>
      <c r="G41" s="2">
        <v>0.86070000000000002</v>
      </c>
      <c r="H41" s="2">
        <v>0.86219999999999997</v>
      </c>
      <c r="I41" s="2">
        <v>0.86770000000000003</v>
      </c>
      <c r="J41" s="2">
        <v>0.86839999999999995</v>
      </c>
      <c r="K41" s="2">
        <v>0.87139999999999995</v>
      </c>
      <c r="L41" s="2">
        <v>0.8589</v>
      </c>
      <c r="M41" s="2">
        <v>0.85429999999999995</v>
      </c>
      <c r="N41" s="2">
        <v>0.85970000000000002</v>
      </c>
      <c r="O41" s="2">
        <v>0.86470000000000002</v>
      </c>
      <c r="P41" s="2">
        <v>0.86650000000000005</v>
      </c>
      <c r="Q41" s="2">
        <v>0.85660000000000003</v>
      </c>
      <c r="R41" s="2">
        <v>0.86619999999999997</v>
      </c>
      <c r="S41" s="2">
        <v>0.86870000000000003</v>
      </c>
      <c r="T41" s="2">
        <v>0.85960000000000003</v>
      </c>
      <c r="U41" s="2">
        <v>0.86760000000000004</v>
      </c>
      <c r="V41" s="2">
        <v>0.85899999999999999</v>
      </c>
      <c r="W41" s="2">
        <v>0.87039999999999995</v>
      </c>
      <c r="X41" s="2">
        <f t="shared" si="5"/>
        <v>0.86308000000000007</v>
      </c>
      <c r="Y41" s="2">
        <f t="shared" si="4"/>
        <v>5.3043775367739021E-3</v>
      </c>
      <c r="Z41" s="2">
        <f t="shared" si="6"/>
        <v>0.61458700662440346</v>
      </c>
      <c r="AA41" s="2">
        <f t="shared" si="7"/>
        <v>0.85299999999999998</v>
      </c>
      <c r="AB41" s="2">
        <f t="shared" si="8"/>
        <v>0.87139999999999995</v>
      </c>
    </row>
    <row r="42" spans="1:28" x14ac:dyDescent="0.25">
      <c r="A42" t="s">
        <v>41</v>
      </c>
      <c r="B42" t="s">
        <v>42</v>
      </c>
      <c r="C42" t="s">
        <v>34</v>
      </c>
      <c r="D42" s="2">
        <v>94.676900000000003</v>
      </c>
      <c r="E42" s="2">
        <v>95.988200000000006</v>
      </c>
      <c r="F42" s="2">
        <v>94.499799999999993</v>
      </c>
      <c r="G42" s="2">
        <v>94.679400000000001</v>
      </c>
      <c r="H42" s="2">
        <v>95.290999999999997</v>
      </c>
      <c r="I42" s="2">
        <v>95.260599999999997</v>
      </c>
      <c r="J42" s="2">
        <v>94.652500000000003</v>
      </c>
      <c r="K42" s="2">
        <v>94.322800000000001</v>
      </c>
      <c r="L42" s="2">
        <v>96.380899999999997</v>
      </c>
      <c r="M42" s="2">
        <v>94.855500000000006</v>
      </c>
      <c r="N42" s="2">
        <v>94.231499999999997</v>
      </c>
      <c r="O42" s="2">
        <v>94.962100000000007</v>
      </c>
      <c r="P42" s="2">
        <v>93.985100000000003</v>
      </c>
      <c r="Q42" s="2">
        <v>95.018000000000001</v>
      </c>
      <c r="R42" s="2">
        <v>94.876300000000001</v>
      </c>
      <c r="S42" s="2">
        <v>94.269300000000001</v>
      </c>
      <c r="T42" s="2">
        <v>94.71</v>
      </c>
      <c r="U42" s="2">
        <v>94.56</v>
      </c>
      <c r="V42" s="2">
        <v>96.710300000000004</v>
      </c>
      <c r="W42" s="2">
        <v>95.800200000000004</v>
      </c>
      <c r="X42" s="2">
        <f t="shared" si="5"/>
        <v>94.986519999999999</v>
      </c>
      <c r="Y42" s="2">
        <f t="shared" si="4"/>
        <v>0.72926576384456043</v>
      </c>
      <c r="Z42" s="2">
        <f t="shared" si="6"/>
        <v>0.76775711316148898</v>
      </c>
      <c r="AA42" s="2">
        <f t="shared" si="7"/>
        <v>93.985100000000003</v>
      </c>
      <c r="AB42" s="2">
        <f t="shared" si="8"/>
        <v>96.710300000000004</v>
      </c>
    </row>
    <row r="43" spans="1:28" x14ac:dyDescent="0.25">
      <c r="A43" t="s">
        <v>41</v>
      </c>
      <c r="B43" t="s">
        <v>42</v>
      </c>
      <c r="C43" t="s">
        <v>35</v>
      </c>
      <c r="D43" s="2">
        <v>0.28170000000000001</v>
      </c>
      <c r="E43" s="2">
        <v>0.27479999999999999</v>
      </c>
      <c r="F43" s="2">
        <v>0.2555</v>
      </c>
      <c r="G43" s="2">
        <v>0.26579999999999998</v>
      </c>
      <c r="H43" s="2">
        <v>0.2606</v>
      </c>
      <c r="I43" s="2">
        <v>0.2601</v>
      </c>
      <c r="J43" s="2">
        <v>0.28920000000000001</v>
      </c>
      <c r="K43" s="2">
        <v>0.25440000000000002</v>
      </c>
      <c r="L43" s="2">
        <v>0.26700000000000002</v>
      </c>
      <c r="M43" s="2">
        <v>0.2787</v>
      </c>
      <c r="N43" s="2">
        <v>0.25740000000000002</v>
      </c>
      <c r="O43" s="2">
        <v>0.27150000000000002</v>
      </c>
      <c r="P43" s="2">
        <v>0.27900000000000003</v>
      </c>
      <c r="Q43" s="2">
        <v>0.2656</v>
      </c>
      <c r="R43" s="2">
        <v>0.26819999999999999</v>
      </c>
      <c r="S43" s="2">
        <v>0.28689999999999999</v>
      </c>
      <c r="T43" s="2">
        <v>0.27250000000000002</v>
      </c>
      <c r="U43" s="2">
        <v>0.25369999999999998</v>
      </c>
      <c r="V43" s="2">
        <v>0.27760000000000001</v>
      </c>
      <c r="W43" s="2">
        <v>0.28100000000000003</v>
      </c>
      <c r="X43" s="2">
        <f t="shared" si="5"/>
        <v>0.27006000000000002</v>
      </c>
      <c r="Y43" s="2">
        <f t="shared" si="4"/>
        <v>1.0934561334545956E-2</v>
      </c>
      <c r="Z43" s="2">
        <f t="shared" si="6"/>
        <v>4.0489377673650138</v>
      </c>
      <c r="AA43" s="2">
        <f t="shared" si="7"/>
        <v>0.25369999999999998</v>
      </c>
      <c r="AB43" s="2">
        <f t="shared" si="8"/>
        <v>0.28920000000000001</v>
      </c>
    </row>
    <row r="44" spans="1:28" x14ac:dyDescent="0.25">
      <c r="A44" t="s">
        <v>41</v>
      </c>
      <c r="B44" t="s">
        <v>43</v>
      </c>
      <c r="C44" t="s">
        <v>30</v>
      </c>
      <c r="D44" s="2">
        <v>0.81259999999999999</v>
      </c>
      <c r="E44" s="2">
        <v>0.72460000000000002</v>
      </c>
      <c r="F44" s="2">
        <v>0.78010000000000002</v>
      </c>
      <c r="G44" s="2">
        <v>0.75900000000000001</v>
      </c>
      <c r="H44" s="2">
        <v>0.75639999999999996</v>
      </c>
      <c r="I44" s="2">
        <v>0.75849999999999995</v>
      </c>
      <c r="J44" s="2">
        <v>0.74480000000000002</v>
      </c>
      <c r="K44" s="2">
        <v>0.76339999999999997</v>
      </c>
      <c r="L44" s="2">
        <v>0.75960000000000005</v>
      </c>
      <c r="M44" s="2">
        <v>0.77839999999999998</v>
      </c>
      <c r="N44" s="2">
        <v>0.73870000000000002</v>
      </c>
      <c r="O44" s="2">
        <v>0.75170000000000003</v>
      </c>
      <c r="P44" s="2">
        <v>0.74729999999999996</v>
      </c>
      <c r="Q44" s="2">
        <v>0.8276</v>
      </c>
      <c r="R44" s="2">
        <v>0.79959999999999998</v>
      </c>
      <c r="S44" s="2">
        <v>0.80600000000000005</v>
      </c>
      <c r="T44" s="2">
        <v>0.76190000000000002</v>
      </c>
      <c r="U44" s="2">
        <v>0.70699999999999996</v>
      </c>
      <c r="V44" s="2">
        <v>0.7429</v>
      </c>
      <c r="W44" s="2">
        <v>0.72660000000000002</v>
      </c>
      <c r="X44" s="2">
        <f t="shared" si="5"/>
        <v>0.76233499999999998</v>
      </c>
      <c r="Y44" s="2">
        <f t="shared" si="4"/>
        <v>3.0839811505328798E-2</v>
      </c>
      <c r="Z44" s="2">
        <f t="shared" si="6"/>
        <v>4.0454408501943107</v>
      </c>
      <c r="AA44" s="2">
        <f t="shared" si="7"/>
        <v>0.70699999999999996</v>
      </c>
      <c r="AB44" s="2">
        <f t="shared" si="8"/>
        <v>0.8276</v>
      </c>
    </row>
    <row r="45" spans="1:28" x14ac:dyDescent="0.25">
      <c r="A45" t="s">
        <v>41</v>
      </c>
      <c r="B45" t="s">
        <v>43</v>
      </c>
      <c r="C45" t="s">
        <v>31</v>
      </c>
      <c r="D45" s="2">
        <v>0.94040000000000001</v>
      </c>
      <c r="E45" s="2">
        <v>1.0366</v>
      </c>
      <c r="F45" s="2">
        <v>0.92579999999999996</v>
      </c>
      <c r="G45" s="2">
        <v>0.996</v>
      </c>
      <c r="H45" s="2">
        <v>1.0105</v>
      </c>
      <c r="I45" s="2">
        <v>1.0287999999999999</v>
      </c>
      <c r="J45" s="2">
        <v>1.0264</v>
      </c>
      <c r="K45" s="2">
        <v>0.9698</v>
      </c>
      <c r="L45" s="2">
        <v>0.94059999999999999</v>
      </c>
      <c r="M45" s="2">
        <v>1.0369999999999999</v>
      </c>
      <c r="N45" s="2">
        <v>1.0378000000000001</v>
      </c>
      <c r="O45" s="2">
        <v>0.99019999999999997</v>
      </c>
      <c r="P45" s="2">
        <v>1.0196000000000001</v>
      </c>
      <c r="Q45" s="2">
        <v>0.99060000000000004</v>
      </c>
      <c r="R45" s="2">
        <v>1.0116000000000001</v>
      </c>
      <c r="S45" s="2">
        <v>1.0532999999999999</v>
      </c>
      <c r="T45" s="2">
        <v>1.0169999999999999</v>
      </c>
      <c r="U45" s="2">
        <v>0.96970000000000001</v>
      </c>
      <c r="V45" s="2">
        <v>1.1006</v>
      </c>
      <c r="W45" s="2">
        <v>1.0185999999999999</v>
      </c>
      <c r="X45" s="2">
        <f t="shared" si="5"/>
        <v>1.0060449999999999</v>
      </c>
      <c r="Y45" s="2">
        <f t="shared" si="4"/>
        <v>4.2161861975761432E-2</v>
      </c>
      <c r="Z45" s="2">
        <f t="shared" si="6"/>
        <v>4.1908524942484124</v>
      </c>
      <c r="AA45" s="2">
        <f t="shared" si="7"/>
        <v>0.92579999999999996</v>
      </c>
      <c r="AB45" s="2">
        <f t="shared" si="8"/>
        <v>1.1006</v>
      </c>
    </row>
    <row r="46" spans="1:28" x14ac:dyDescent="0.25">
      <c r="A46" t="s">
        <v>41</v>
      </c>
      <c r="B46" t="s">
        <v>43</v>
      </c>
      <c r="C46" t="s">
        <v>32</v>
      </c>
      <c r="D46" s="2">
        <v>5.9435000000000002</v>
      </c>
      <c r="E46" s="2">
        <v>6.5850999999999997</v>
      </c>
      <c r="F46" s="2">
        <v>6.3658000000000001</v>
      </c>
      <c r="G46" s="2">
        <v>6.4408000000000003</v>
      </c>
      <c r="H46" s="2">
        <v>6.8070000000000004</v>
      </c>
      <c r="I46" s="2">
        <v>6.6963999999999997</v>
      </c>
      <c r="J46" s="2">
        <v>6.2404999999999999</v>
      </c>
      <c r="K46" s="2">
        <v>5.9927000000000001</v>
      </c>
      <c r="L46" s="2">
        <v>6.6073000000000004</v>
      </c>
      <c r="M46" s="2">
        <v>6.1673</v>
      </c>
      <c r="N46" s="2">
        <v>6.3442999999999996</v>
      </c>
      <c r="O46" s="2">
        <v>6.5949</v>
      </c>
      <c r="P46" s="2">
        <v>6.2115</v>
      </c>
      <c r="Q46" s="2">
        <v>6.4790000000000001</v>
      </c>
      <c r="R46" s="2">
        <v>6.3940000000000001</v>
      </c>
      <c r="S46" s="2">
        <v>6.7013999999999996</v>
      </c>
      <c r="T46" s="2">
        <v>6.7255000000000003</v>
      </c>
      <c r="U46" s="2">
        <v>6.8205</v>
      </c>
      <c r="V46" s="2">
        <v>6.2480000000000002</v>
      </c>
      <c r="W46" s="2">
        <v>6.4114000000000004</v>
      </c>
      <c r="X46" s="2">
        <f t="shared" si="5"/>
        <v>6.4388449999999988</v>
      </c>
      <c r="Y46" s="2">
        <f t="shared" si="4"/>
        <v>0.25515857912286621</v>
      </c>
      <c r="Z46" s="2">
        <f t="shared" si="6"/>
        <v>3.9628004575799896</v>
      </c>
      <c r="AA46" s="2">
        <f t="shared" si="7"/>
        <v>5.9435000000000002</v>
      </c>
      <c r="AB46" s="2">
        <f t="shared" si="8"/>
        <v>6.8205</v>
      </c>
    </row>
    <row r="47" spans="1:28" x14ac:dyDescent="0.25">
      <c r="A47" t="s">
        <v>41</v>
      </c>
      <c r="B47" t="s">
        <v>43</v>
      </c>
      <c r="C47" t="s">
        <v>33</v>
      </c>
      <c r="D47" s="2">
        <v>0.86680000000000001</v>
      </c>
      <c r="E47" s="2">
        <v>0.87009999999999998</v>
      </c>
      <c r="F47" s="2">
        <v>0.879</v>
      </c>
      <c r="G47" s="2">
        <v>0.8639</v>
      </c>
      <c r="H47" s="2">
        <v>0.87460000000000004</v>
      </c>
      <c r="I47" s="2">
        <v>0.879</v>
      </c>
      <c r="J47" s="2">
        <v>0.87009999999999998</v>
      </c>
      <c r="K47" s="2">
        <v>0.87590000000000001</v>
      </c>
      <c r="L47" s="2">
        <v>0.86839999999999995</v>
      </c>
      <c r="M47" s="2">
        <v>0.86409999999999998</v>
      </c>
      <c r="N47" s="2">
        <v>0.87060000000000004</v>
      </c>
      <c r="O47" s="2">
        <v>0.872</v>
      </c>
      <c r="P47" s="2">
        <v>0.86660000000000004</v>
      </c>
      <c r="Q47" s="2">
        <v>0.87009999999999998</v>
      </c>
      <c r="R47" s="2">
        <v>0.86570000000000003</v>
      </c>
      <c r="S47" s="2">
        <v>0.88070000000000004</v>
      </c>
      <c r="T47" s="2">
        <v>0.86850000000000005</v>
      </c>
      <c r="U47" s="2">
        <v>0.87070000000000003</v>
      </c>
      <c r="V47" s="2">
        <v>0.87549999999999994</v>
      </c>
      <c r="W47" s="2">
        <v>0.86629999999999996</v>
      </c>
      <c r="X47" s="2">
        <f t="shared" si="5"/>
        <v>0.87092999999999987</v>
      </c>
      <c r="Y47" s="2">
        <f t="shared" si="4"/>
        <v>5.0320133043084145E-3</v>
      </c>
      <c r="Z47" s="2">
        <f t="shared" si="6"/>
        <v>0.5777747125840671</v>
      </c>
      <c r="AA47" s="2">
        <f t="shared" si="7"/>
        <v>0.8639</v>
      </c>
      <c r="AB47" s="2">
        <f t="shared" si="8"/>
        <v>0.88070000000000004</v>
      </c>
    </row>
    <row r="48" spans="1:28" x14ac:dyDescent="0.25">
      <c r="A48" t="s">
        <v>41</v>
      </c>
      <c r="B48" t="s">
        <v>43</v>
      </c>
      <c r="C48" t="s">
        <v>34</v>
      </c>
      <c r="D48" s="2">
        <v>95.469300000000004</v>
      </c>
      <c r="E48" s="2">
        <v>95.379800000000003</v>
      </c>
      <c r="F48" s="2">
        <v>94.564999999999998</v>
      </c>
      <c r="G48" s="2">
        <v>93.8202</v>
      </c>
      <c r="H48" s="2">
        <v>94.415899999999993</v>
      </c>
      <c r="I48" s="2">
        <v>94.203599999999994</v>
      </c>
      <c r="J48" s="2">
        <v>95.309100000000001</v>
      </c>
      <c r="K48" s="2">
        <v>93.647099999999995</v>
      </c>
      <c r="L48" s="2">
        <v>96.188199999999995</v>
      </c>
      <c r="M48" s="2">
        <v>96.028300000000002</v>
      </c>
      <c r="N48" s="2">
        <v>94.254300000000001</v>
      </c>
      <c r="O48" s="2">
        <v>95.143699999999995</v>
      </c>
      <c r="P48" s="2">
        <v>94.273799999999994</v>
      </c>
      <c r="Q48" s="2">
        <v>95.061300000000003</v>
      </c>
      <c r="R48" s="2">
        <v>94.533000000000001</v>
      </c>
      <c r="S48" s="2">
        <v>95.676900000000003</v>
      </c>
      <c r="T48" s="2">
        <v>95.543599999999998</v>
      </c>
      <c r="U48" s="2">
        <v>94.116299999999995</v>
      </c>
      <c r="V48" s="2">
        <v>94.692899999999995</v>
      </c>
      <c r="W48" s="2">
        <v>94.751300000000001</v>
      </c>
      <c r="X48" s="2">
        <f t="shared" si="5"/>
        <v>94.853679999999983</v>
      </c>
      <c r="Y48" s="2">
        <f t="shared" si="4"/>
        <v>0.72201084377335911</v>
      </c>
      <c r="Z48" s="2">
        <f t="shared" si="6"/>
        <v>0.76118379779609946</v>
      </c>
      <c r="AA48" s="2">
        <f t="shared" si="7"/>
        <v>93.647099999999995</v>
      </c>
      <c r="AB48" s="2">
        <f t="shared" si="8"/>
        <v>96.188199999999995</v>
      </c>
    </row>
    <row r="49" spans="1:28" x14ac:dyDescent="0.25">
      <c r="A49" t="s">
        <v>41</v>
      </c>
      <c r="B49" t="s">
        <v>43</v>
      </c>
      <c r="C49" t="s">
        <v>35</v>
      </c>
      <c r="D49" s="2">
        <v>0.25900000000000001</v>
      </c>
      <c r="E49" s="2">
        <v>0.25890000000000002</v>
      </c>
      <c r="F49" s="2">
        <v>0.24410000000000001</v>
      </c>
      <c r="G49" s="2">
        <v>0.23699999999999999</v>
      </c>
      <c r="H49" s="2">
        <v>0.26019999999999999</v>
      </c>
      <c r="I49" s="2">
        <v>0.25530000000000003</v>
      </c>
      <c r="J49" s="2">
        <v>0.22850000000000001</v>
      </c>
      <c r="K49" s="2">
        <v>0.24329999999999999</v>
      </c>
      <c r="L49" s="2">
        <v>0.22739999999999999</v>
      </c>
      <c r="M49" s="2">
        <v>0.25979999999999998</v>
      </c>
      <c r="N49" s="2">
        <v>0.26919999999999999</v>
      </c>
      <c r="O49" s="2">
        <v>0.2767</v>
      </c>
      <c r="P49" s="2">
        <v>0.25790000000000002</v>
      </c>
      <c r="Q49" s="2">
        <v>0.24660000000000001</v>
      </c>
      <c r="R49" s="2">
        <v>0.2283</v>
      </c>
      <c r="S49" s="2">
        <v>0.2475</v>
      </c>
      <c r="T49" s="2">
        <v>0.22439999999999999</v>
      </c>
      <c r="U49" s="2">
        <v>0.24490000000000001</v>
      </c>
      <c r="V49" s="2">
        <v>0.26440000000000002</v>
      </c>
      <c r="W49" s="2">
        <v>0.25659999999999999</v>
      </c>
      <c r="X49" s="2">
        <f t="shared" si="5"/>
        <v>0.24949999999999997</v>
      </c>
      <c r="Y49" s="2">
        <f t="shared" si="4"/>
        <v>1.4814679775213009E-2</v>
      </c>
      <c r="Z49" s="2">
        <f t="shared" si="6"/>
        <v>5.9377474048949939</v>
      </c>
      <c r="AA49" s="2">
        <f t="shared" si="7"/>
        <v>0.22439999999999999</v>
      </c>
      <c r="AB49" s="2">
        <f t="shared" si="8"/>
        <v>0.2767</v>
      </c>
    </row>
    <row r="50" spans="1:28" x14ac:dyDescent="0.25">
      <c r="A50" t="s">
        <v>41</v>
      </c>
      <c r="B50" t="s">
        <v>44</v>
      </c>
      <c r="C50" t="s">
        <v>30</v>
      </c>
      <c r="D50" s="2">
        <v>0.72540000000000004</v>
      </c>
      <c r="E50" s="2">
        <v>0.71120000000000005</v>
      </c>
      <c r="F50" s="2">
        <v>0.70889999999999997</v>
      </c>
      <c r="G50" s="2">
        <v>0.81420000000000003</v>
      </c>
      <c r="H50" s="2">
        <v>0.6986</v>
      </c>
      <c r="I50" s="2">
        <v>0.69689999999999996</v>
      </c>
      <c r="J50" s="2">
        <v>0.70109999999999995</v>
      </c>
      <c r="K50" s="2">
        <v>0.70489999999999997</v>
      </c>
      <c r="L50" s="2">
        <v>0.74080000000000001</v>
      </c>
      <c r="M50" s="2">
        <v>0.68440000000000001</v>
      </c>
      <c r="N50" s="2">
        <v>0.76090000000000002</v>
      </c>
      <c r="O50" s="2">
        <v>0.70750000000000002</v>
      </c>
      <c r="P50" s="2">
        <v>0.73709999999999998</v>
      </c>
      <c r="Q50" s="2">
        <v>0.70279999999999998</v>
      </c>
      <c r="R50" s="2">
        <v>0.67759999999999998</v>
      </c>
      <c r="S50" s="2">
        <v>0.69789999999999996</v>
      </c>
      <c r="T50" s="2">
        <v>0.7016</v>
      </c>
      <c r="U50" s="2">
        <v>0.70269999999999999</v>
      </c>
      <c r="V50" s="2">
        <v>0.77890000000000004</v>
      </c>
      <c r="W50" s="2">
        <v>0.60550000000000004</v>
      </c>
      <c r="X50" s="2">
        <f t="shared" si="5"/>
        <v>0.71294500000000005</v>
      </c>
      <c r="Y50" s="2">
        <f t="shared" si="4"/>
        <v>4.1867943710269744E-2</v>
      </c>
      <c r="Z50" s="2">
        <f t="shared" si="6"/>
        <v>5.8725348673838429</v>
      </c>
      <c r="AA50" s="2">
        <f t="shared" si="7"/>
        <v>0.60550000000000004</v>
      </c>
      <c r="AB50" s="2">
        <f t="shared" si="8"/>
        <v>0.81420000000000003</v>
      </c>
    </row>
    <row r="51" spans="1:28" x14ac:dyDescent="0.25">
      <c r="A51" t="s">
        <v>41</v>
      </c>
      <c r="B51" t="s">
        <v>44</v>
      </c>
      <c r="C51" t="s">
        <v>31</v>
      </c>
      <c r="D51" s="2">
        <v>0.8921</v>
      </c>
      <c r="E51" s="2">
        <v>0.93469999999999998</v>
      </c>
      <c r="F51" s="2">
        <v>1.0007999999999999</v>
      </c>
      <c r="G51" s="2">
        <v>0.90610000000000002</v>
      </c>
      <c r="H51" s="2">
        <v>0.93010000000000004</v>
      </c>
      <c r="I51" s="2">
        <v>0.96989999999999998</v>
      </c>
      <c r="J51" s="2">
        <v>0.92430000000000001</v>
      </c>
      <c r="K51" s="2">
        <v>0.94879999999999998</v>
      </c>
      <c r="L51" s="2">
        <v>0.96919999999999995</v>
      </c>
      <c r="M51" s="2">
        <v>0.93500000000000005</v>
      </c>
      <c r="N51" s="2">
        <v>0.99460000000000004</v>
      </c>
      <c r="O51" s="2">
        <v>0.97299999999999998</v>
      </c>
      <c r="P51" s="2">
        <v>0.90080000000000005</v>
      </c>
      <c r="Q51" s="2">
        <v>0.92390000000000005</v>
      </c>
      <c r="R51" s="2">
        <v>0.91490000000000005</v>
      </c>
      <c r="S51" s="2">
        <v>0.97929999999999995</v>
      </c>
      <c r="T51" s="2">
        <v>0.96499999999999997</v>
      </c>
      <c r="U51" s="2">
        <v>0.93789999999999996</v>
      </c>
      <c r="V51" s="2">
        <v>0.94399999999999995</v>
      </c>
      <c r="W51" s="2">
        <v>0.96540000000000004</v>
      </c>
      <c r="X51" s="2">
        <f t="shared" si="5"/>
        <v>0.94549000000000005</v>
      </c>
      <c r="Y51" s="2">
        <f t="shared" si="4"/>
        <v>3.0856388914487453E-2</v>
      </c>
      <c r="Z51" s="2">
        <f t="shared" si="6"/>
        <v>3.2635341372714093</v>
      </c>
      <c r="AA51" s="2">
        <f t="shared" si="7"/>
        <v>0.8921</v>
      </c>
      <c r="AB51" s="2">
        <f t="shared" si="8"/>
        <v>1.0007999999999999</v>
      </c>
    </row>
    <row r="52" spans="1:28" x14ac:dyDescent="0.25">
      <c r="A52" t="s">
        <v>41</v>
      </c>
      <c r="B52" t="s">
        <v>44</v>
      </c>
      <c r="C52" t="s">
        <v>32</v>
      </c>
      <c r="D52" s="2">
        <v>6.4066999999999998</v>
      </c>
      <c r="E52" s="2">
        <v>5.5157999999999996</v>
      </c>
      <c r="F52" s="2">
        <v>5.8552</v>
      </c>
      <c r="G52" s="2">
        <v>5.6856999999999998</v>
      </c>
      <c r="H52" s="2">
        <v>5.9020000000000001</v>
      </c>
      <c r="I52" s="2">
        <v>6.3296000000000001</v>
      </c>
      <c r="J52" s="2">
        <v>6.5461999999999998</v>
      </c>
      <c r="K52" s="2">
        <v>6.1111000000000004</v>
      </c>
      <c r="L52" s="2">
        <v>5.8623000000000003</v>
      </c>
      <c r="M52" s="2">
        <v>5.6322999999999999</v>
      </c>
      <c r="N52" s="2">
        <v>6.3670999999999998</v>
      </c>
      <c r="O52" s="2">
        <v>6.0359999999999996</v>
      </c>
      <c r="P52" s="2">
        <v>5.6009000000000002</v>
      </c>
      <c r="Q52" s="2">
        <v>5.8834</v>
      </c>
      <c r="R52" s="2">
        <v>5.9132999999999996</v>
      </c>
      <c r="S52" s="2">
        <v>6.3894000000000002</v>
      </c>
      <c r="T52" s="2">
        <v>6.0522999999999998</v>
      </c>
      <c r="U52" s="2">
        <v>6.0553999999999997</v>
      </c>
      <c r="V52" s="2">
        <v>5.7877999999999998</v>
      </c>
      <c r="W52" s="2">
        <v>5.6608999999999998</v>
      </c>
      <c r="X52" s="2">
        <f t="shared" si="5"/>
        <v>5.9796699999999996</v>
      </c>
      <c r="Y52" s="2">
        <f t="shared" si="4"/>
        <v>0.30160346937136207</v>
      </c>
      <c r="Z52" s="2">
        <f t="shared" si="6"/>
        <v>5.0438146147088734</v>
      </c>
      <c r="AA52" s="2">
        <f t="shared" si="7"/>
        <v>5.5157999999999996</v>
      </c>
      <c r="AB52" s="2">
        <f t="shared" si="8"/>
        <v>6.5461999999999998</v>
      </c>
    </row>
    <row r="53" spans="1:28" x14ac:dyDescent="0.25">
      <c r="A53" t="s">
        <v>41</v>
      </c>
      <c r="B53" t="s">
        <v>44</v>
      </c>
      <c r="C53" t="s">
        <v>33</v>
      </c>
      <c r="D53" s="2">
        <v>0.87739999999999996</v>
      </c>
      <c r="E53" s="2">
        <v>0.88260000000000005</v>
      </c>
      <c r="F53" s="2">
        <v>0.87890000000000001</v>
      </c>
      <c r="G53" s="2">
        <v>0.8891</v>
      </c>
      <c r="H53" s="2">
        <v>0.87970000000000004</v>
      </c>
      <c r="I53" s="2">
        <v>0.87560000000000004</v>
      </c>
      <c r="J53" s="2">
        <v>0.87339999999999995</v>
      </c>
      <c r="K53" s="2">
        <v>0.88639999999999997</v>
      </c>
      <c r="L53" s="2">
        <v>0.87870000000000004</v>
      </c>
      <c r="M53" s="2">
        <v>0.87609999999999999</v>
      </c>
      <c r="N53" s="2">
        <v>0.87139999999999995</v>
      </c>
      <c r="O53" s="2">
        <v>0.88219999999999998</v>
      </c>
      <c r="P53" s="2">
        <v>0.87770000000000004</v>
      </c>
      <c r="Q53" s="2">
        <v>0.87470000000000003</v>
      </c>
      <c r="R53" s="2">
        <v>0.87339999999999995</v>
      </c>
      <c r="S53" s="2">
        <v>0.87490000000000001</v>
      </c>
      <c r="T53" s="2">
        <v>0.88029999999999997</v>
      </c>
      <c r="U53" s="2">
        <v>0.88339999999999996</v>
      </c>
      <c r="V53" s="2">
        <v>0.88749999999999996</v>
      </c>
      <c r="W53" s="2">
        <v>0.88080000000000003</v>
      </c>
      <c r="X53" s="2">
        <f t="shared" si="5"/>
        <v>0.87921000000000016</v>
      </c>
      <c r="Y53" s="2">
        <f t="shared" si="4"/>
        <v>4.9001503736324789E-3</v>
      </c>
      <c r="Z53" s="2">
        <f t="shared" si="6"/>
        <v>0.55733560510372693</v>
      </c>
      <c r="AA53" s="2">
        <f t="shared" si="7"/>
        <v>0.87139999999999995</v>
      </c>
      <c r="AB53" s="2">
        <f t="shared" si="8"/>
        <v>0.8891</v>
      </c>
    </row>
    <row r="54" spans="1:28" x14ac:dyDescent="0.25">
      <c r="A54" t="s">
        <v>41</v>
      </c>
      <c r="B54" t="s">
        <v>44</v>
      </c>
      <c r="C54" t="s">
        <v>34</v>
      </c>
      <c r="D54" s="2">
        <v>94.994</v>
      </c>
      <c r="E54" s="2">
        <v>94.3613</v>
      </c>
      <c r="F54" s="2">
        <v>94.034499999999994</v>
      </c>
      <c r="G54" s="2">
        <v>94.585999999999999</v>
      </c>
      <c r="H54" s="2">
        <v>93.846100000000007</v>
      </c>
      <c r="I54" s="2">
        <v>93.763400000000004</v>
      </c>
      <c r="J54" s="2">
        <v>93.8613</v>
      </c>
      <c r="K54" s="2">
        <v>94.668000000000006</v>
      </c>
      <c r="L54" s="2">
        <v>93.568100000000001</v>
      </c>
      <c r="M54" s="2">
        <v>95.3489</v>
      </c>
      <c r="N54" s="2">
        <v>95.2346</v>
      </c>
      <c r="O54" s="2">
        <v>93.947699999999998</v>
      </c>
      <c r="P54" s="2">
        <v>95.186300000000003</v>
      </c>
      <c r="Q54" s="2">
        <v>94.235900000000001</v>
      </c>
      <c r="R54" s="2">
        <v>95.653999999999996</v>
      </c>
      <c r="S54" s="2">
        <v>95.399500000000003</v>
      </c>
      <c r="T54" s="2">
        <v>93.715100000000007</v>
      </c>
      <c r="U54" s="2">
        <v>93.296700000000001</v>
      </c>
      <c r="V54" s="2">
        <v>94.579700000000003</v>
      </c>
      <c r="W54" s="2">
        <v>95.488900000000001</v>
      </c>
      <c r="X54" s="2">
        <f t="shared" si="5"/>
        <v>94.488500000000016</v>
      </c>
      <c r="Y54" s="2">
        <f t="shared" si="4"/>
        <v>0.72745517568546991</v>
      </c>
      <c r="Z54" s="2">
        <f t="shared" si="6"/>
        <v>0.76988752672068006</v>
      </c>
      <c r="AA54" s="2">
        <f t="shared" si="7"/>
        <v>93.296700000000001</v>
      </c>
      <c r="AB54" s="2">
        <f t="shared" si="8"/>
        <v>95.653999999999996</v>
      </c>
    </row>
    <row r="55" spans="1:28" x14ac:dyDescent="0.25">
      <c r="A55" t="s">
        <v>41</v>
      </c>
      <c r="B55" t="s">
        <v>44</v>
      </c>
      <c r="C55" t="s">
        <v>35</v>
      </c>
      <c r="D55" s="2">
        <v>0.22459999999999999</v>
      </c>
      <c r="E55" s="2">
        <v>0.2288</v>
      </c>
      <c r="F55" s="2">
        <v>0.2389</v>
      </c>
      <c r="G55" s="2">
        <v>0.21790000000000001</v>
      </c>
      <c r="H55" s="2">
        <v>0.24310000000000001</v>
      </c>
      <c r="I55" s="2">
        <v>0.23400000000000001</v>
      </c>
      <c r="J55" s="2">
        <v>0.2286</v>
      </c>
      <c r="K55" s="2">
        <v>0.2424</v>
      </c>
      <c r="L55" s="2">
        <v>0.22009999999999999</v>
      </c>
      <c r="M55" s="2">
        <v>0.245</v>
      </c>
      <c r="N55" s="2">
        <v>0.24729999999999999</v>
      </c>
      <c r="O55" s="2">
        <v>0.23530000000000001</v>
      </c>
      <c r="P55" s="2">
        <v>0.23219999999999999</v>
      </c>
      <c r="Q55" s="2">
        <v>0.2591</v>
      </c>
      <c r="R55" s="2">
        <v>0.23449999999999999</v>
      </c>
      <c r="S55" s="2">
        <v>0.22720000000000001</v>
      </c>
      <c r="T55" s="2">
        <v>0.23100000000000001</v>
      </c>
      <c r="U55" s="2">
        <v>0.25440000000000002</v>
      </c>
      <c r="V55" s="2">
        <v>0.214</v>
      </c>
      <c r="W55" s="2">
        <v>0.2316</v>
      </c>
      <c r="X55" s="2">
        <f t="shared" si="5"/>
        <v>0.23450000000000007</v>
      </c>
      <c r="Y55" s="2">
        <f t="shared" si="4"/>
        <v>1.1651970693948367E-2</v>
      </c>
      <c r="Z55" s="2">
        <f t="shared" si="6"/>
        <v>4.9688574387839504</v>
      </c>
      <c r="AA55" s="2">
        <f t="shared" si="7"/>
        <v>0.214</v>
      </c>
      <c r="AB55" s="2">
        <f t="shared" si="8"/>
        <v>0.2591</v>
      </c>
    </row>
    <row r="56" spans="1:28" x14ac:dyDescent="0.25">
      <c r="A56" t="s">
        <v>41</v>
      </c>
      <c r="B56" t="s">
        <v>45</v>
      </c>
      <c r="C56" t="s">
        <v>30</v>
      </c>
      <c r="D56" s="2">
        <v>0.67279999999999995</v>
      </c>
      <c r="E56" s="2">
        <v>0.64859999999999995</v>
      </c>
      <c r="F56" s="2">
        <v>0.68259999999999998</v>
      </c>
      <c r="G56" s="2">
        <v>0.67249999999999999</v>
      </c>
      <c r="H56" s="2">
        <v>0.66800000000000004</v>
      </c>
      <c r="I56" s="2">
        <v>0.63649999999999995</v>
      </c>
      <c r="J56" s="2">
        <v>0.67249999999999999</v>
      </c>
      <c r="K56" s="2">
        <v>0.64770000000000005</v>
      </c>
      <c r="L56" s="2">
        <v>0.65810000000000002</v>
      </c>
      <c r="M56" s="2">
        <v>0.69910000000000005</v>
      </c>
      <c r="N56" s="2">
        <v>0.66459999999999997</v>
      </c>
      <c r="O56" s="2">
        <v>0.63200000000000001</v>
      </c>
      <c r="P56" s="2">
        <v>0.622</v>
      </c>
      <c r="Q56" s="2">
        <v>0.6643</v>
      </c>
      <c r="R56" s="2">
        <v>0.68459999999999999</v>
      </c>
      <c r="S56" s="2">
        <v>0.67969999999999997</v>
      </c>
      <c r="T56" s="2">
        <v>0.62970000000000004</v>
      </c>
      <c r="U56" s="2">
        <v>0.62290000000000001</v>
      </c>
      <c r="V56" s="2">
        <v>0.68640000000000001</v>
      </c>
      <c r="W56" s="2">
        <v>0.64080000000000004</v>
      </c>
      <c r="X56" s="2">
        <f t="shared" si="5"/>
        <v>0.65927000000000002</v>
      </c>
      <c r="Y56" s="2">
        <f t="shared" si="4"/>
        <v>2.2972938313085726E-2</v>
      </c>
      <c r="Z56" s="2">
        <f t="shared" si="6"/>
        <v>3.4846024107096829</v>
      </c>
      <c r="AA56" s="2">
        <f t="shared" si="7"/>
        <v>0.622</v>
      </c>
      <c r="AB56" s="2">
        <f t="shared" si="8"/>
        <v>0.69910000000000005</v>
      </c>
    </row>
    <row r="57" spans="1:28" x14ac:dyDescent="0.25">
      <c r="A57" t="s">
        <v>41</v>
      </c>
      <c r="B57" t="s">
        <v>45</v>
      </c>
      <c r="C57" t="s">
        <v>31</v>
      </c>
      <c r="D57" s="2">
        <v>0.87039999999999995</v>
      </c>
      <c r="E57" s="2">
        <v>0.83299999999999996</v>
      </c>
      <c r="F57" s="2">
        <v>0.89480000000000004</v>
      </c>
      <c r="G57" s="2">
        <v>0.89659999999999995</v>
      </c>
      <c r="H57" s="2">
        <v>0.88</v>
      </c>
      <c r="I57" s="2">
        <v>0.87370000000000003</v>
      </c>
      <c r="J57" s="2">
        <v>0.83560000000000001</v>
      </c>
      <c r="K57" s="2">
        <v>0.87880000000000003</v>
      </c>
      <c r="L57" s="2">
        <v>0.86199999999999999</v>
      </c>
      <c r="M57" s="2">
        <v>0.86029999999999995</v>
      </c>
      <c r="N57" s="2">
        <v>0.83489999999999998</v>
      </c>
      <c r="O57" s="2">
        <v>0.93259999999999998</v>
      </c>
      <c r="P57" s="2">
        <v>0.91100000000000003</v>
      </c>
      <c r="Q57" s="2">
        <v>0.87770000000000004</v>
      </c>
      <c r="R57" s="2">
        <v>0.871</v>
      </c>
      <c r="S57" s="2">
        <v>0.83560000000000001</v>
      </c>
      <c r="T57" s="2">
        <v>0.85299999999999998</v>
      </c>
      <c r="U57" s="2">
        <v>0.87939999999999996</v>
      </c>
      <c r="V57" s="2">
        <v>0.83919999999999995</v>
      </c>
      <c r="W57" s="2">
        <v>0.91110000000000002</v>
      </c>
      <c r="X57" s="2">
        <f t="shared" si="5"/>
        <v>0.87153500000000006</v>
      </c>
      <c r="Y57" s="2">
        <f t="shared" si="4"/>
        <v>2.8347324667232256E-2</v>
      </c>
      <c r="Z57" s="2">
        <f t="shared" si="6"/>
        <v>3.2525744424758902</v>
      </c>
      <c r="AA57" s="2">
        <f t="shared" si="7"/>
        <v>0.83299999999999996</v>
      </c>
      <c r="AB57" s="2">
        <f t="shared" si="8"/>
        <v>0.93259999999999998</v>
      </c>
    </row>
    <row r="58" spans="1:28" x14ac:dyDescent="0.25">
      <c r="A58" t="s">
        <v>41</v>
      </c>
      <c r="B58" t="s">
        <v>45</v>
      </c>
      <c r="C58" t="s">
        <v>32</v>
      </c>
      <c r="D58" s="2">
        <v>5.6539000000000001</v>
      </c>
      <c r="E58" s="2">
        <v>5.4744000000000002</v>
      </c>
      <c r="F58" s="2">
        <v>5.6272000000000002</v>
      </c>
      <c r="G58" s="2">
        <v>5.7317</v>
      </c>
      <c r="H58" s="2">
        <v>5.6357999999999997</v>
      </c>
      <c r="I58" s="2">
        <v>5.5925000000000002</v>
      </c>
      <c r="J58" s="2">
        <v>5.8117000000000001</v>
      </c>
      <c r="K58" s="2">
        <v>6.1031000000000004</v>
      </c>
      <c r="L58" s="2">
        <v>5.4089</v>
      </c>
      <c r="M58" s="2">
        <v>5.6849999999999996</v>
      </c>
      <c r="N58" s="2">
        <v>5.5026000000000002</v>
      </c>
      <c r="O58" s="2">
        <v>5.9523999999999999</v>
      </c>
      <c r="P58" s="2">
        <v>5.4938000000000002</v>
      </c>
      <c r="Q58" s="2">
        <v>5.3970000000000002</v>
      </c>
      <c r="R58" s="2">
        <v>5.5019</v>
      </c>
      <c r="S58" s="2">
        <v>5.1482000000000001</v>
      </c>
      <c r="T58" s="2">
        <v>5.5762</v>
      </c>
      <c r="U58" s="2">
        <v>5.5738000000000003</v>
      </c>
      <c r="V58" s="2">
        <v>5.5686999999999998</v>
      </c>
      <c r="W58" s="2">
        <v>5.0349000000000004</v>
      </c>
      <c r="X58" s="2">
        <f t="shared" si="5"/>
        <v>5.5736850000000002</v>
      </c>
      <c r="Y58" s="2">
        <f t="shared" si="4"/>
        <v>0.23923141246610216</v>
      </c>
      <c r="Z58" s="2">
        <f t="shared" si="6"/>
        <v>4.2921588225043603</v>
      </c>
      <c r="AA58" s="2">
        <f t="shared" si="7"/>
        <v>5.0349000000000004</v>
      </c>
      <c r="AB58" s="2">
        <f t="shared" si="8"/>
        <v>6.1031000000000004</v>
      </c>
    </row>
    <row r="59" spans="1:28" x14ac:dyDescent="0.25">
      <c r="A59" t="s">
        <v>41</v>
      </c>
      <c r="B59" t="s">
        <v>45</v>
      </c>
      <c r="C59" t="s">
        <v>33</v>
      </c>
      <c r="D59" s="2">
        <v>0.89429999999999998</v>
      </c>
      <c r="E59" s="2">
        <v>0.89</v>
      </c>
      <c r="F59" s="2">
        <v>0.88790000000000002</v>
      </c>
      <c r="G59" s="2">
        <v>0.89080000000000004</v>
      </c>
      <c r="H59" s="2">
        <v>0.89</v>
      </c>
      <c r="I59" s="2">
        <v>0.89410000000000001</v>
      </c>
      <c r="J59" s="2">
        <v>0.88549999999999995</v>
      </c>
      <c r="K59" s="2">
        <v>0.88859999999999995</v>
      </c>
      <c r="L59" s="2">
        <v>0.88900000000000001</v>
      </c>
      <c r="M59" s="2">
        <v>0.88700000000000001</v>
      </c>
      <c r="N59" s="2">
        <v>0.8962</v>
      </c>
      <c r="O59" s="2">
        <v>0.88980000000000004</v>
      </c>
      <c r="P59" s="2">
        <v>0.88749999999999996</v>
      </c>
      <c r="Q59" s="2">
        <v>0.87949999999999995</v>
      </c>
      <c r="R59" s="2">
        <v>0.88870000000000005</v>
      </c>
      <c r="S59" s="2">
        <v>0.89039999999999997</v>
      </c>
      <c r="T59" s="2">
        <v>0.89280000000000004</v>
      </c>
      <c r="U59" s="2">
        <v>0.89080000000000004</v>
      </c>
      <c r="V59" s="2">
        <v>0.89639999999999997</v>
      </c>
      <c r="W59" s="2">
        <v>0.88929999999999998</v>
      </c>
      <c r="X59" s="2">
        <f t="shared" si="5"/>
        <v>0.88992999999999989</v>
      </c>
      <c r="Y59" s="2">
        <f t="shared" si="4"/>
        <v>3.8335224972396052E-3</v>
      </c>
      <c r="Z59" s="2">
        <f t="shared" si="6"/>
        <v>0.43076674538891885</v>
      </c>
      <c r="AA59" s="2">
        <f t="shared" si="7"/>
        <v>0.87949999999999995</v>
      </c>
      <c r="AB59" s="2">
        <f t="shared" si="8"/>
        <v>0.89639999999999997</v>
      </c>
    </row>
    <row r="60" spans="1:28" x14ac:dyDescent="0.25">
      <c r="A60" t="s">
        <v>41</v>
      </c>
      <c r="B60" t="s">
        <v>45</v>
      </c>
      <c r="C60" t="s">
        <v>34</v>
      </c>
      <c r="D60" s="2">
        <v>95.299199999999999</v>
      </c>
      <c r="E60" s="2">
        <v>93.734300000000005</v>
      </c>
      <c r="F60" s="2">
        <v>93.969200000000001</v>
      </c>
      <c r="G60" s="2">
        <v>95.9161</v>
      </c>
      <c r="H60" s="2">
        <v>94.764899999999997</v>
      </c>
      <c r="I60" s="2">
        <v>94.183400000000006</v>
      </c>
      <c r="J60" s="2">
        <v>94.972800000000007</v>
      </c>
      <c r="K60" s="2">
        <v>94.479399999999998</v>
      </c>
      <c r="L60" s="2">
        <v>94.381100000000004</v>
      </c>
      <c r="M60" s="2">
        <v>93.505200000000002</v>
      </c>
      <c r="N60" s="2">
        <v>94.781700000000001</v>
      </c>
      <c r="O60" s="2">
        <v>94.155299999999997</v>
      </c>
      <c r="P60" s="2">
        <v>95.109499999999997</v>
      </c>
      <c r="Q60" s="2">
        <v>94.793599999999998</v>
      </c>
      <c r="R60" s="2">
        <v>94.687299999999993</v>
      </c>
      <c r="S60" s="2">
        <v>96.397900000000007</v>
      </c>
      <c r="T60" s="2">
        <v>95.408799999999999</v>
      </c>
      <c r="U60" s="2">
        <v>94.439300000000003</v>
      </c>
      <c r="V60" s="2">
        <v>95.352000000000004</v>
      </c>
      <c r="W60" s="2">
        <v>95.300299999999993</v>
      </c>
      <c r="X60" s="2">
        <f t="shared" si="5"/>
        <v>94.781565000000001</v>
      </c>
      <c r="Y60" s="2">
        <f t="shared" si="4"/>
        <v>0.71868373563649046</v>
      </c>
      <c r="Z60" s="2">
        <f t="shared" si="6"/>
        <v>0.75825265771512684</v>
      </c>
      <c r="AA60" s="2">
        <f t="shared" si="7"/>
        <v>93.505200000000002</v>
      </c>
      <c r="AB60" s="2">
        <f t="shared" si="8"/>
        <v>96.397900000000007</v>
      </c>
    </row>
    <row r="61" spans="1:28" x14ac:dyDescent="0.25">
      <c r="A61" t="s">
        <v>41</v>
      </c>
      <c r="B61" t="s">
        <v>45</v>
      </c>
      <c r="C61" t="s">
        <v>35</v>
      </c>
      <c r="D61" s="2">
        <v>0.2177</v>
      </c>
      <c r="E61" s="2">
        <v>0.21279999999999999</v>
      </c>
      <c r="F61" s="2">
        <v>0.21609999999999999</v>
      </c>
      <c r="G61" s="2">
        <v>0.18920000000000001</v>
      </c>
      <c r="H61" s="2">
        <v>0.19869999999999999</v>
      </c>
      <c r="I61" s="2">
        <v>0.2044</v>
      </c>
      <c r="J61" s="2">
        <v>0.21079999999999999</v>
      </c>
      <c r="K61" s="2">
        <v>0.2278</v>
      </c>
      <c r="L61" s="2">
        <v>0.2208</v>
      </c>
      <c r="M61" s="2">
        <v>0.19470000000000001</v>
      </c>
      <c r="N61" s="2">
        <v>0.20810000000000001</v>
      </c>
      <c r="O61" s="2">
        <v>0.20630000000000001</v>
      </c>
      <c r="P61" s="2">
        <v>0.19800000000000001</v>
      </c>
      <c r="Q61" s="2">
        <v>0.21690000000000001</v>
      </c>
      <c r="R61" s="2">
        <v>0.19700000000000001</v>
      </c>
      <c r="S61" s="2">
        <v>0.2137</v>
      </c>
      <c r="T61" s="2">
        <v>0.20899999999999999</v>
      </c>
      <c r="U61" s="2">
        <v>0.18390000000000001</v>
      </c>
      <c r="V61" s="2">
        <v>0.217</v>
      </c>
      <c r="W61" s="2">
        <v>0.21329999999999999</v>
      </c>
      <c r="X61" s="2">
        <f t="shared" si="5"/>
        <v>0.20780999999999999</v>
      </c>
      <c r="Y61" s="2">
        <f t="shared" si="4"/>
        <v>1.1243753821566886E-2</v>
      </c>
      <c r="Z61" s="2">
        <f t="shared" si="6"/>
        <v>5.4105932445824969</v>
      </c>
      <c r="AA61" s="2">
        <f t="shared" si="7"/>
        <v>0.18390000000000001</v>
      </c>
      <c r="AB61" s="2">
        <f t="shared" si="8"/>
        <v>0.2278</v>
      </c>
    </row>
    <row r="62" spans="1:28" x14ac:dyDescent="0.25">
      <c r="A62" t="s">
        <v>41</v>
      </c>
      <c r="B62" t="s">
        <v>46</v>
      </c>
      <c r="C62" t="s">
        <v>30</v>
      </c>
      <c r="D62" s="2">
        <v>0.5675</v>
      </c>
      <c r="E62" s="2">
        <v>0.63990000000000002</v>
      </c>
      <c r="F62" s="2">
        <v>0.58579999999999999</v>
      </c>
      <c r="G62" s="2">
        <v>0.61080000000000001</v>
      </c>
      <c r="H62" s="2">
        <v>0.59689999999999999</v>
      </c>
      <c r="I62" s="2">
        <v>0.62849999999999995</v>
      </c>
      <c r="J62" s="2">
        <v>0.57120000000000004</v>
      </c>
      <c r="K62" s="2">
        <v>0.62549999999999994</v>
      </c>
      <c r="L62" s="2">
        <v>0.56769999999999998</v>
      </c>
      <c r="M62" s="2">
        <v>0.62039999999999995</v>
      </c>
      <c r="N62" s="2">
        <v>0.60129999999999995</v>
      </c>
      <c r="O62" s="2">
        <v>0.61070000000000002</v>
      </c>
      <c r="P62" s="2">
        <v>0.64229999999999998</v>
      </c>
      <c r="Q62" s="2">
        <v>0.59219999999999995</v>
      </c>
      <c r="R62" s="2">
        <v>0.62009999999999998</v>
      </c>
      <c r="S62" s="2">
        <v>0.60070000000000001</v>
      </c>
      <c r="T62" s="2">
        <v>0.62080000000000002</v>
      </c>
      <c r="U62" s="2">
        <v>0.62119999999999997</v>
      </c>
      <c r="V62" s="2">
        <v>0.5897</v>
      </c>
      <c r="W62" s="2">
        <v>0.60729999999999995</v>
      </c>
      <c r="X62" s="2">
        <f t="shared" si="5"/>
        <v>0.60602500000000004</v>
      </c>
      <c r="Y62" s="2">
        <f t="shared" si="4"/>
        <v>2.2258998771638158E-2</v>
      </c>
      <c r="Z62" s="2">
        <f t="shared" si="6"/>
        <v>3.672950583167057</v>
      </c>
      <c r="AA62" s="2">
        <f t="shared" si="7"/>
        <v>0.5675</v>
      </c>
      <c r="AB62" s="2">
        <f t="shared" si="8"/>
        <v>0.64229999999999998</v>
      </c>
    </row>
    <row r="63" spans="1:28" x14ac:dyDescent="0.25">
      <c r="A63" t="s">
        <v>41</v>
      </c>
      <c r="B63" t="s">
        <v>46</v>
      </c>
      <c r="C63" t="s">
        <v>31</v>
      </c>
      <c r="D63" s="2">
        <v>0.78879999999999995</v>
      </c>
      <c r="E63" s="2">
        <v>0.84040000000000004</v>
      </c>
      <c r="F63" s="2">
        <v>0.78610000000000002</v>
      </c>
      <c r="G63" s="2">
        <v>0.75419999999999998</v>
      </c>
      <c r="H63" s="2">
        <v>0.80479999999999996</v>
      </c>
      <c r="I63" s="2">
        <v>0.82550000000000001</v>
      </c>
      <c r="J63" s="2">
        <v>0.80579999999999996</v>
      </c>
      <c r="K63" s="2">
        <v>0.79269999999999996</v>
      </c>
      <c r="L63" s="2">
        <v>0.82630000000000003</v>
      </c>
      <c r="M63" s="2">
        <v>0.78590000000000004</v>
      </c>
      <c r="N63" s="2">
        <v>0.80059999999999998</v>
      </c>
      <c r="O63" s="2">
        <v>0.77800000000000002</v>
      </c>
      <c r="P63" s="2">
        <v>0.81779999999999997</v>
      </c>
      <c r="Q63" s="2">
        <v>0.79949999999999999</v>
      </c>
      <c r="R63" s="2">
        <v>0.77559999999999996</v>
      </c>
      <c r="S63" s="2">
        <v>0.81610000000000005</v>
      </c>
      <c r="T63" s="2">
        <v>0.77480000000000004</v>
      </c>
      <c r="U63" s="2">
        <v>0.82989999999999997</v>
      </c>
      <c r="V63" s="2">
        <v>0.81179999999999997</v>
      </c>
      <c r="W63" s="2">
        <v>0.80089999999999995</v>
      </c>
      <c r="X63" s="2">
        <f t="shared" si="5"/>
        <v>0.80077500000000013</v>
      </c>
      <c r="Y63" s="2">
        <f t="shared" si="4"/>
        <v>2.1779127501735284E-2</v>
      </c>
      <c r="Z63" s="2">
        <f t="shared" si="6"/>
        <v>2.7197561739234217</v>
      </c>
      <c r="AA63" s="2">
        <f t="shared" si="7"/>
        <v>0.75419999999999998</v>
      </c>
      <c r="AB63" s="2">
        <f t="shared" si="8"/>
        <v>0.84040000000000004</v>
      </c>
    </row>
    <row r="64" spans="1:28" x14ac:dyDescent="0.25">
      <c r="A64" t="s">
        <v>41</v>
      </c>
      <c r="B64" t="s">
        <v>46</v>
      </c>
      <c r="C64" t="s">
        <v>32</v>
      </c>
      <c r="D64" s="2">
        <v>5.3452999999999999</v>
      </c>
      <c r="E64" s="2">
        <v>5.5561999999999996</v>
      </c>
      <c r="F64" s="2">
        <v>5.0461999999999998</v>
      </c>
      <c r="G64" s="2">
        <v>5.1111000000000004</v>
      </c>
      <c r="H64" s="2">
        <v>4.9499000000000004</v>
      </c>
      <c r="I64" s="2">
        <v>4.8963999999999999</v>
      </c>
      <c r="J64" s="2">
        <v>5.1905000000000001</v>
      </c>
      <c r="K64" s="2">
        <v>4.9461000000000004</v>
      </c>
      <c r="L64" s="2">
        <v>4.7252999999999998</v>
      </c>
      <c r="M64" s="2">
        <v>5.1536</v>
      </c>
      <c r="N64" s="2">
        <v>5.1534000000000004</v>
      </c>
      <c r="O64" s="2">
        <v>4.9410999999999996</v>
      </c>
      <c r="P64" s="2">
        <v>5.4135999999999997</v>
      </c>
      <c r="Q64" s="2">
        <v>4.7995999999999999</v>
      </c>
      <c r="R64" s="2">
        <v>5.5247000000000002</v>
      </c>
      <c r="S64" s="2">
        <v>5.6181000000000001</v>
      </c>
      <c r="T64" s="2">
        <v>4.6840000000000002</v>
      </c>
      <c r="U64" s="2">
        <v>5.4908000000000001</v>
      </c>
      <c r="V64" s="2">
        <v>4.8742000000000001</v>
      </c>
      <c r="W64" s="2">
        <v>5.2544000000000004</v>
      </c>
      <c r="X64" s="2">
        <f t="shared" si="5"/>
        <v>5.1337250000000001</v>
      </c>
      <c r="Y64" s="2">
        <f t="shared" si="4"/>
        <v>0.2859684724525452</v>
      </c>
      <c r="Z64" s="2">
        <f t="shared" si="6"/>
        <v>5.5703893849504054</v>
      </c>
      <c r="AA64" s="2">
        <f t="shared" si="7"/>
        <v>4.6840000000000002</v>
      </c>
      <c r="AB64" s="2">
        <f t="shared" si="8"/>
        <v>5.6181000000000001</v>
      </c>
    </row>
    <row r="65" spans="1:28" x14ac:dyDescent="0.25">
      <c r="A65" t="s">
        <v>41</v>
      </c>
      <c r="B65" t="s">
        <v>46</v>
      </c>
      <c r="C65" t="s">
        <v>33</v>
      </c>
      <c r="D65" s="2">
        <v>0.89219999999999999</v>
      </c>
      <c r="E65" s="2">
        <v>0.89100000000000001</v>
      </c>
      <c r="F65" s="2">
        <v>0.90049999999999997</v>
      </c>
      <c r="G65" s="2">
        <v>0.90210000000000001</v>
      </c>
      <c r="H65" s="2">
        <v>0.89990000000000003</v>
      </c>
      <c r="I65" s="2">
        <v>0.89470000000000005</v>
      </c>
      <c r="J65" s="2">
        <v>0.89859999999999995</v>
      </c>
      <c r="K65" s="2">
        <v>0.90290000000000004</v>
      </c>
      <c r="L65" s="2">
        <v>0.89539999999999997</v>
      </c>
      <c r="M65" s="2">
        <v>0.90200000000000002</v>
      </c>
      <c r="N65" s="2">
        <v>0.89949999999999997</v>
      </c>
      <c r="O65" s="2">
        <v>0.9002</v>
      </c>
      <c r="P65" s="2">
        <v>0.90129999999999999</v>
      </c>
      <c r="Q65" s="2">
        <v>0.89729999999999999</v>
      </c>
      <c r="R65" s="2">
        <v>0.89270000000000005</v>
      </c>
      <c r="S65" s="2">
        <v>0.89429999999999998</v>
      </c>
      <c r="T65" s="2">
        <v>0.89629999999999999</v>
      </c>
      <c r="U65" s="2">
        <v>0.89839999999999998</v>
      </c>
      <c r="V65" s="2">
        <v>0.9052</v>
      </c>
      <c r="W65" s="2">
        <v>0.89670000000000005</v>
      </c>
      <c r="X65" s="2">
        <f t="shared" si="5"/>
        <v>0.89805999999999986</v>
      </c>
      <c r="Y65" s="2">
        <f t="shared" si="4"/>
        <v>3.86678160748703E-3</v>
      </c>
      <c r="Z65" s="2">
        <f t="shared" si="6"/>
        <v>0.4305705195072746</v>
      </c>
      <c r="AA65" s="2">
        <f t="shared" si="7"/>
        <v>0.89100000000000001</v>
      </c>
      <c r="AB65" s="2">
        <f t="shared" si="8"/>
        <v>0.9052</v>
      </c>
    </row>
    <row r="66" spans="1:28" x14ac:dyDescent="0.25">
      <c r="A66" t="s">
        <v>41</v>
      </c>
      <c r="B66" t="s">
        <v>46</v>
      </c>
      <c r="C66" t="s">
        <v>34</v>
      </c>
      <c r="D66" s="2">
        <v>94.047200000000004</v>
      </c>
      <c r="E66" s="2">
        <v>94.779799999999994</v>
      </c>
      <c r="F66" s="2">
        <v>93.759200000000007</v>
      </c>
      <c r="G66" s="2">
        <v>94.893500000000003</v>
      </c>
      <c r="H66" s="2">
        <v>95.251300000000001</v>
      </c>
      <c r="I66" s="2">
        <v>95.234300000000005</v>
      </c>
      <c r="J66" s="2">
        <v>95.465100000000007</v>
      </c>
      <c r="K66" s="2">
        <v>94.361199999999997</v>
      </c>
      <c r="L66" s="2">
        <v>94.604299999999995</v>
      </c>
      <c r="M66" s="2">
        <v>95.435500000000005</v>
      </c>
      <c r="N66" s="2">
        <v>94.072000000000003</v>
      </c>
      <c r="O66" s="2">
        <v>94.216700000000003</v>
      </c>
      <c r="P66" s="2">
        <v>94.793800000000005</v>
      </c>
      <c r="Q66" s="2">
        <v>95.088200000000001</v>
      </c>
      <c r="R66" s="2">
        <v>94.7958</v>
      </c>
      <c r="S66" s="2">
        <v>95.510499999999993</v>
      </c>
      <c r="T66" s="2">
        <v>94.642700000000005</v>
      </c>
      <c r="U66" s="2">
        <v>94.418400000000005</v>
      </c>
      <c r="V66" s="2">
        <v>94.183000000000007</v>
      </c>
      <c r="W66" s="2">
        <v>94.955799999999996</v>
      </c>
      <c r="X66" s="2">
        <f t="shared" ref="X66:X97" si="9">AVERAGE(D66:W66)</f>
        <v>94.725415000000012</v>
      </c>
      <c r="Y66" s="2">
        <f t="shared" si="4"/>
        <v>0.51558284063051441</v>
      </c>
      <c r="Z66" s="2">
        <f t="shared" ref="Z66:Z97" si="10">IFERROR(Y66/ABS(X66)*100,"")</f>
        <v>0.54429198397337641</v>
      </c>
      <c r="AA66" s="2">
        <f t="shared" ref="AA66:AA73" si="11">MIN(D66:W66)</f>
        <v>93.759200000000007</v>
      </c>
      <c r="AB66" s="2">
        <f t="shared" ref="AB66:AB73" si="12">MAX(D66:W66)</f>
        <v>95.510499999999993</v>
      </c>
    </row>
    <row r="67" spans="1:28" x14ac:dyDescent="0.25">
      <c r="A67" t="s">
        <v>41</v>
      </c>
      <c r="B67" t="s">
        <v>46</v>
      </c>
      <c r="C67" t="s">
        <v>35</v>
      </c>
      <c r="D67" s="2">
        <v>0.1797</v>
      </c>
      <c r="E67" s="2">
        <v>0.1996</v>
      </c>
      <c r="F67" s="2">
        <v>0.2026</v>
      </c>
      <c r="G67" s="2">
        <v>0.18279999999999999</v>
      </c>
      <c r="H67" s="2">
        <v>0.18770000000000001</v>
      </c>
      <c r="I67" s="2">
        <v>0.184</v>
      </c>
      <c r="J67" s="2">
        <v>0.1835</v>
      </c>
      <c r="K67" s="2">
        <v>0.17979999999999999</v>
      </c>
      <c r="L67" s="2">
        <v>0.2011</v>
      </c>
      <c r="M67" s="2">
        <v>0.19980000000000001</v>
      </c>
      <c r="N67" s="2">
        <v>0.1862</v>
      </c>
      <c r="O67" s="2">
        <v>0.1943</v>
      </c>
      <c r="P67" s="2">
        <v>0.1953</v>
      </c>
      <c r="Q67" s="2">
        <v>0.1933</v>
      </c>
      <c r="R67" s="2">
        <v>0.18559999999999999</v>
      </c>
      <c r="S67" s="2">
        <v>0.18110000000000001</v>
      </c>
      <c r="T67" s="2">
        <v>0.19939999999999999</v>
      </c>
      <c r="U67" s="2">
        <v>0.19520000000000001</v>
      </c>
      <c r="V67" s="2">
        <v>0.18590000000000001</v>
      </c>
      <c r="W67" s="2">
        <v>0.18179999999999999</v>
      </c>
      <c r="X67" s="2">
        <f t="shared" si="9"/>
        <v>0.18993499999999996</v>
      </c>
      <c r="Y67" s="2">
        <f t="shared" ref="Y67:Y73" si="13">_xlfn.STDEV.S(D67:W67)</f>
        <v>7.8991188715810869E-3</v>
      </c>
      <c r="Z67" s="2">
        <f t="shared" si="10"/>
        <v>4.1588537507995307</v>
      </c>
      <c r="AA67" s="2">
        <f t="shared" si="11"/>
        <v>0.1797</v>
      </c>
      <c r="AB67" s="2">
        <f t="shared" si="12"/>
        <v>0.2026</v>
      </c>
    </row>
    <row r="68" spans="1:28" x14ac:dyDescent="0.25">
      <c r="A68" t="s">
        <v>41</v>
      </c>
      <c r="B68" t="s">
        <v>47</v>
      </c>
      <c r="C68" t="s">
        <v>30</v>
      </c>
      <c r="D68" s="2">
        <v>0.54769999999999996</v>
      </c>
      <c r="E68" s="2">
        <v>0.53159999999999996</v>
      </c>
      <c r="F68" s="2">
        <v>0.53190000000000004</v>
      </c>
      <c r="G68" s="2">
        <v>0.51619999999999999</v>
      </c>
      <c r="H68" s="2">
        <v>0.5343</v>
      </c>
      <c r="I68" s="2">
        <v>0.55620000000000003</v>
      </c>
      <c r="J68" s="2">
        <v>0.55059999999999998</v>
      </c>
      <c r="K68" s="2">
        <v>0.55620000000000003</v>
      </c>
      <c r="L68" s="2">
        <v>0.57599999999999996</v>
      </c>
      <c r="M68" s="2">
        <v>0.56569999999999998</v>
      </c>
      <c r="N68" s="2">
        <v>0.53749999999999998</v>
      </c>
      <c r="O68" s="2">
        <v>0.5575</v>
      </c>
      <c r="P68" s="2">
        <v>0.54379999999999995</v>
      </c>
      <c r="Q68" s="2">
        <v>0.55689999999999995</v>
      </c>
      <c r="R68" s="2">
        <v>0.53300000000000003</v>
      </c>
      <c r="S68" s="2">
        <v>0.55630000000000002</v>
      </c>
      <c r="T68" s="2">
        <v>0.54320000000000002</v>
      </c>
      <c r="U68" s="2">
        <v>0.55920000000000003</v>
      </c>
      <c r="V68" s="2">
        <v>0.53879999999999995</v>
      </c>
      <c r="W68" s="2">
        <v>0.54510000000000003</v>
      </c>
      <c r="X68" s="2">
        <f t="shared" si="9"/>
        <v>0.54688499999999995</v>
      </c>
      <c r="Y68" s="2">
        <f t="shared" si="13"/>
        <v>1.4092972306119549E-2</v>
      </c>
      <c r="Z68" s="2">
        <f t="shared" si="10"/>
        <v>2.5769535288259049</v>
      </c>
      <c r="AA68" s="2">
        <f t="shared" si="11"/>
        <v>0.51619999999999999</v>
      </c>
      <c r="AB68" s="2">
        <f t="shared" si="12"/>
        <v>0.57599999999999996</v>
      </c>
    </row>
    <row r="69" spans="1:28" x14ac:dyDescent="0.25">
      <c r="A69" t="s">
        <v>41</v>
      </c>
      <c r="B69" t="s">
        <v>47</v>
      </c>
      <c r="C69" t="s">
        <v>31</v>
      </c>
      <c r="D69" s="2">
        <v>0.71389999999999998</v>
      </c>
      <c r="E69" s="2">
        <v>0.7097</v>
      </c>
      <c r="F69" s="2">
        <v>0.70389999999999997</v>
      </c>
      <c r="G69" s="2">
        <v>0.6996</v>
      </c>
      <c r="H69" s="2">
        <v>0.68640000000000001</v>
      </c>
      <c r="I69" s="2">
        <v>0.72230000000000005</v>
      </c>
      <c r="J69" s="2">
        <v>0.71630000000000005</v>
      </c>
      <c r="K69" s="2">
        <v>0.745</v>
      </c>
      <c r="L69" s="2">
        <v>0.72870000000000001</v>
      </c>
      <c r="M69" s="2">
        <v>0.74739999999999995</v>
      </c>
      <c r="N69" s="2">
        <v>0.73850000000000005</v>
      </c>
      <c r="O69" s="2">
        <v>0.71360000000000001</v>
      </c>
      <c r="P69" s="2">
        <v>0.74399999999999999</v>
      </c>
      <c r="Q69" s="2">
        <v>0.74139999999999995</v>
      </c>
      <c r="R69" s="2">
        <v>0.71760000000000002</v>
      </c>
      <c r="S69" s="2">
        <v>0.74529999999999996</v>
      </c>
      <c r="T69" s="2">
        <v>0.7389</v>
      </c>
      <c r="U69" s="2">
        <v>0.77090000000000003</v>
      </c>
      <c r="V69" s="2">
        <v>0.7258</v>
      </c>
      <c r="W69" s="2">
        <v>0.7359</v>
      </c>
      <c r="X69" s="2">
        <f t="shared" si="9"/>
        <v>0.72725499999999987</v>
      </c>
      <c r="Y69" s="2">
        <f t="shared" si="13"/>
        <v>2.0082526445172492E-2</v>
      </c>
      <c r="Z69" s="2">
        <f t="shared" si="10"/>
        <v>2.7614146956944259</v>
      </c>
      <c r="AA69" s="2">
        <f t="shared" si="11"/>
        <v>0.68640000000000001</v>
      </c>
      <c r="AB69" s="2">
        <f t="shared" si="12"/>
        <v>0.77090000000000003</v>
      </c>
    </row>
    <row r="70" spans="1:28" x14ac:dyDescent="0.25">
      <c r="A70" t="s">
        <v>41</v>
      </c>
      <c r="B70" t="s">
        <v>47</v>
      </c>
      <c r="C70" t="s">
        <v>32</v>
      </c>
      <c r="D70" s="2">
        <v>4.6002000000000001</v>
      </c>
      <c r="E70" s="2">
        <v>4.4771999999999998</v>
      </c>
      <c r="F70" s="2">
        <v>4.7434000000000003</v>
      </c>
      <c r="G70" s="2">
        <v>4.4416000000000002</v>
      </c>
      <c r="H70" s="2">
        <v>4.5846999999999998</v>
      </c>
      <c r="I70" s="2">
        <v>4.6813000000000002</v>
      </c>
      <c r="J70" s="2">
        <v>4.4710999999999999</v>
      </c>
      <c r="K70" s="2">
        <v>4.6502999999999997</v>
      </c>
      <c r="L70" s="2">
        <v>4.6605999999999996</v>
      </c>
      <c r="M70" s="2">
        <v>4.6829999999999998</v>
      </c>
      <c r="N70" s="2">
        <v>4.6609999999999996</v>
      </c>
      <c r="O70" s="2">
        <v>4.4752999999999998</v>
      </c>
      <c r="P70" s="2">
        <v>4.3635999999999999</v>
      </c>
      <c r="Q70" s="2">
        <v>4.6866000000000003</v>
      </c>
      <c r="R70" s="2">
        <v>4.4093</v>
      </c>
      <c r="S70" s="2">
        <v>4.8270999999999997</v>
      </c>
      <c r="T70" s="2">
        <v>4.8470000000000004</v>
      </c>
      <c r="U70" s="2">
        <v>4.5753000000000004</v>
      </c>
      <c r="V70" s="2">
        <v>4.5266000000000002</v>
      </c>
      <c r="W70" s="2">
        <v>4.8396999999999997</v>
      </c>
      <c r="X70" s="2">
        <f t="shared" si="9"/>
        <v>4.6102449999999999</v>
      </c>
      <c r="Y70" s="2">
        <f t="shared" si="13"/>
        <v>0.14331498057737976</v>
      </c>
      <c r="Z70" s="2">
        <f t="shared" si="10"/>
        <v>3.1086196195078521</v>
      </c>
      <c r="AA70" s="2">
        <f t="shared" si="11"/>
        <v>4.3635999999999999</v>
      </c>
      <c r="AB70" s="2">
        <f t="shared" si="12"/>
        <v>4.8470000000000004</v>
      </c>
    </row>
    <row r="71" spans="1:28" x14ac:dyDescent="0.25">
      <c r="A71" t="s">
        <v>41</v>
      </c>
      <c r="B71" t="s">
        <v>47</v>
      </c>
      <c r="C71" t="s">
        <v>33</v>
      </c>
      <c r="D71" s="2">
        <v>0.91139999999999999</v>
      </c>
      <c r="E71" s="2">
        <v>0.90669999999999995</v>
      </c>
      <c r="F71" s="2">
        <v>0.90110000000000001</v>
      </c>
      <c r="G71" s="2">
        <v>0.90300000000000002</v>
      </c>
      <c r="H71" s="2">
        <v>0.90710000000000002</v>
      </c>
      <c r="I71" s="2">
        <v>0.90639999999999998</v>
      </c>
      <c r="J71" s="2">
        <v>0.90090000000000003</v>
      </c>
      <c r="K71" s="2">
        <v>0.90790000000000004</v>
      </c>
      <c r="L71" s="2">
        <v>0.90769999999999995</v>
      </c>
      <c r="M71" s="2">
        <v>0.90859999999999996</v>
      </c>
      <c r="N71" s="2">
        <v>0.90559999999999996</v>
      </c>
      <c r="O71" s="2">
        <v>0.90910000000000002</v>
      </c>
      <c r="P71" s="2">
        <v>0.9103</v>
      </c>
      <c r="Q71" s="2">
        <v>0.91110000000000002</v>
      </c>
      <c r="R71" s="2">
        <v>0.90720000000000001</v>
      </c>
      <c r="S71" s="2">
        <v>0.90480000000000005</v>
      </c>
      <c r="T71" s="2">
        <v>0.90580000000000005</v>
      </c>
      <c r="U71" s="2">
        <v>0.90180000000000005</v>
      </c>
      <c r="V71" s="2">
        <v>0.90969999999999995</v>
      </c>
      <c r="W71" s="2">
        <v>0.91500000000000004</v>
      </c>
      <c r="X71" s="2">
        <f t="shared" si="9"/>
        <v>0.90705999999999987</v>
      </c>
      <c r="Y71" s="2">
        <f t="shared" si="13"/>
        <v>3.6299050299306362E-3</v>
      </c>
      <c r="Z71" s="2">
        <f t="shared" si="10"/>
        <v>0.40018356337294519</v>
      </c>
      <c r="AA71" s="2">
        <f t="shared" si="11"/>
        <v>0.90090000000000003</v>
      </c>
      <c r="AB71" s="2">
        <f t="shared" si="12"/>
        <v>0.91500000000000004</v>
      </c>
    </row>
    <row r="72" spans="1:28" x14ac:dyDescent="0.25">
      <c r="A72" t="s">
        <v>41</v>
      </c>
      <c r="B72" t="s">
        <v>47</v>
      </c>
      <c r="C72" t="s">
        <v>34</v>
      </c>
      <c r="D72" s="2">
        <v>95.827500000000001</v>
      </c>
      <c r="E72" s="2">
        <v>94.843999999999994</v>
      </c>
      <c r="F72" s="2">
        <v>93.790999999999997</v>
      </c>
      <c r="G72" s="2">
        <v>95.438800000000001</v>
      </c>
      <c r="H72" s="2">
        <v>94.236400000000003</v>
      </c>
      <c r="I72" s="2">
        <v>94.174899999999994</v>
      </c>
      <c r="J72" s="2">
        <v>93.833200000000005</v>
      </c>
      <c r="K72" s="2">
        <v>95.288499999999999</v>
      </c>
      <c r="L72" s="2">
        <v>95.395899999999997</v>
      </c>
      <c r="M72" s="2">
        <v>94.994500000000002</v>
      </c>
      <c r="N72" s="2">
        <v>95.002499999999998</v>
      </c>
      <c r="O72" s="2">
        <v>95.368300000000005</v>
      </c>
      <c r="P72" s="2">
        <v>94.6083</v>
      </c>
      <c r="Q72" s="2">
        <v>94.905100000000004</v>
      </c>
      <c r="R72" s="2">
        <v>95.135199999999998</v>
      </c>
      <c r="S72" s="2">
        <v>94.923900000000003</v>
      </c>
      <c r="T72" s="2">
        <v>94.385199999999998</v>
      </c>
      <c r="U72" s="2">
        <v>95.267700000000005</v>
      </c>
      <c r="V72" s="2">
        <v>94.421000000000006</v>
      </c>
      <c r="W72" s="2">
        <v>95.129099999999994</v>
      </c>
      <c r="X72" s="2">
        <f t="shared" si="9"/>
        <v>94.848550000000003</v>
      </c>
      <c r="Y72" s="2">
        <f t="shared" si="13"/>
        <v>0.55694559830712753</v>
      </c>
      <c r="Z72" s="2">
        <f t="shared" si="10"/>
        <v>0.58719463640417013</v>
      </c>
      <c r="AA72" s="2">
        <f t="shared" si="11"/>
        <v>93.790999999999997</v>
      </c>
      <c r="AB72" s="2">
        <f t="shared" si="12"/>
        <v>95.827500000000001</v>
      </c>
    </row>
    <row r="73" spans="1:28" x14ac:dyDescent="0.25">
      <c r="A73" t="s">
        <v>41</v>
      </c>
      <c r="B73" t="s">
        <v>47</v>
      </c>
      <c r="C73" t="s">
        <v>35</v>
      </c>
      <c r="D73" s="2">
        <v>0.18590000000000001</v>
      </c>
      <c r="E73" s="2">
        <v>0.18290000000000001</v>
      </c>
      <c r="F73" s="2">
        <v>0.19089999999999999</v>
      </c>
      <c r="G73" s="2">
        <v>0.17860000000000001</v>
      </c>
      <c r="H73" s="2">
        <v>0.18529999999999999</v>
      </c>
      <c r="I73" s="2">
        <v>0.17480000000000001</v>
      </c>
      <c r="J73" s="2">
        <v>0.1711</v>
      </c>
      <c r="K73" s="2">
        <v>0.1681</v>
      </c>
      <c r="L73" s="2">
        <v>0.1832</v>
      </c>
      <c r="M73" s="2">
        <v>0.17730000000000001</v>
      </c>
      <c r="N73" s="2">
        <v>0.18160000000000001</v>
      </c>
      <c r="O73" s="2">
        <v>0.17299999999999999</v>
      </c>
      <c r="P73" s="2">
        <v>0.1744</v>
      </c>
      <c r="Q73" s="2">
        <v>0.17419999999999999</v>
      </c>
      <c r="R73" s="2">
        <v>0.17660000000000001</v>
      </c>
      <c r="S73" s="2">
        <v>0.1736</v>
      </c>
      <c r="T73" s="2">
        <v>0.17119999999999999</v>
      </c>
      <c r="U73" s="2">
        <v>0.1847</v>
      </c>
      <c r="V73" s="2">
        <v>0.15490000000000001</v>
      </c>
      <c r="W73" s="2">
        <v>0.1699</v>
      </c>
      <c r="X73" s="2">
        <f t="shared" si="9"/>
        <v>0.17660999999999999</v>
      </c>
      <c r="Y73" s="2">
        <f t="shared" si="13"/>
        <v>8.0402212590659997E-3</v>
      </c>
      <c r="Z73" s="2">
        <f t="shared" si="10"/>
        <v>4.5525288823203667</v>
      </c>
      <c r="AA73" s="2">
        <f t="shared" si="11"/>
        <v>0.15490000000000001</v>
      </c>
      <c r="AB73" s="2">
        <f t="shared" si="12"/>
        <v>0.19089999999999999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3" sqref="H13"/>
    </sheetView>
  </sheetViews>
  <sheetFormatPr defaultRowHeight="15" x14ac:dyDescent="0.25"/>
  <cols>
    <col min="1" max="1" width="23" customWidth="1"/>
    <col min="2" max="2" width="14" customWidth="1"/>
    <col min="3" max="8" width="20" customWidth="1"/>
  </cols>
  <sheetData>
    <row r="1" spans="1:8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t="s">
        <v>28</v>
      </c>
      <c r="B2" t="s">
        <v>29</v>
      </c>
      <c r="C2" t="str">
        <f>TEXT(Results_Table5!X2,"0.000")&amp;" ± "&amp;TEXT(Results_Table5!Y2,"0.000")</f>
        <v>0.826 ± 0.021</v>
      </c>
      <c r="D2" t="str">
        <f>TEXT(Results_Table5!X3,"0.000")&amp;" ± "&amp;TEXT(Results_Table5!Y3,"0.000")</f>
        <v>1.095 ± 0.018</v>
      </c>
      <c r="E2" t="str">
        <f>TEXT(Results_Table5!X4,"0.000")&amp;" ± "&amp;TEXT(Results_Table5!Y4,"0.000")</f>
        <v>7.004 ± 0.183</v>
      </c>
      <c r="F2" t="str">
        <f>TEXT(Results_Table5!X5,"0.000")&amp;" ± "&amp;TEXT(Results_Table5!Y5,"0.000")</f>
        <v>0.859 ± 0.004</v>
      </c>
      <c r="G2" t="str">
        <f>TEXT(Results_Table5!X6,"0.000")&amp;" ± "&amp;TEXT(Results_Table5!Y6,"0.000")</f>
        <v>94.665 ± 0.615</v>
      </c>
      <c r="H2" t="str">
        <f>TEXT(Results_Table5!X7,"0.000")&amp;" ± "&amp;TEXT(Results_Table5!Y7,"0.000")</f>
        <v>0.276 ± 0.015</v>
      </c>
    </row>
    <row r="3" spans="1:8" x14ac:dyDescent="0.25">
      <c r="A3" t="s">
        <v>28</v>
      </c>
      <c r="B3" t="s">
        <v>36</v>
      </c>
      <c r="C3" t="str">
        <f>TEXT(Results_Table5!X8,"0.000")&amp;" ± "&amp;TEXT(Results_Table5!Y8,"0.000")</f>
        <v>0.768 ± 0.030</v>
      </c>
      <c r="D3" t="str">
        <f>TEXT(Results_Table5!X9,"0.000")&amp;" ± "&amp;TEXT(Results_Table5!Y9,"0.000")</f>
        <v>1.014 ± 0.032</v>
      </c>
      <c r="E3" t="str">
        <f>TEXT(Results_Table5!X10,"0.000")&amp;" ± "&amp;TEXT(Results_Table5!Y10,"0.000")</f>
        <v>6.525 ± 0.209</v>
      </c>
      <c r="F3" t="str">
        <f>TEXT(Results_Table5!X11,"0.000")&amp;" ± "&amp;TEXT(Results_Table5!Y11,"0.000")</f>
        <v>0.870 ± 0.008</v>
      </c>
      <c r="G3" t="str">
        <f>TEXT(Results_Table5!X12,"0.000")&amp;" ± "&amp;TEXT(Results_Table5!Y12,"0.000")</f>
        <v>94.551 ± 1.164</v>
      </c>
      <c r="H3" t="str">
        <f>TEXT(Results_Table5!X13,"0.000")&amp;" ± "&amp;TEXT(Results_Table5!Y13,"0.000")</f>
        <v>0.252 ± 0.017</v>
      </c>
    </row>
    <row r="4" spans="1:8" x14ac:dyDescent="0.25">
      <c r="A4" t="s">
        <v>28</v>
      </c>
      <c r="B4" t="s">
        <v>37</v>
      </c>
      <c r="C4" t="str">
        <f>TEXT(Results_Table5!X14,"0.000")&amp;" ± "&amp;TEXT(Results_Table5!Y14,"0.000")</f>
        <v>0.711 ± 0.032</v>
      </c>
      <c r="D4" t="str">
        <f>TEXT(Results_Table5!X15,"0.000")&amp;" ± "&amp;TEXT(Results_Table5!Y15,"0.000")</f>
        <v>0.940 ± 0.021</v>
      </c>
      <c r="E4" t="str">
        <f>TEXT(Results_Table5!X16,"0.000")&amp;" ± "&amp;TEXT(Results_Table5!Y16,"0.000")</f>
        <v>5.986 ± 0.200</v>
      </c>
      <c r="F4" t="str">
        <f>TEXT(Results_Table5!X17,"0.000")&amp;" ± "&amp;TEXT(Results_Table5!Y17,"0.000")</f>
        <v>0.880 ± 0.004</v>
      </c>
      <c r="G4" t="str">
        <f>TEXT(Results_Table5!X18,"0.000")&amp;" ± "&amp;TEXT(Results_Table5!Y18,"0.000")</f>
        <v>94.974 ± 0.563</v>
      </c>
      <c r="H4" t="str">
        <f>TEXT(Results_Table5!X19,"0.000")&amp;" ± "&amp;TEXT(Results_Table5!Y19,"0.000")</f>
        <v>0.231 ± 0.010</v>
      </c>
    </row>
    <row r="5" spans="1:8" x14ac:dyDescent="0.25">
      <c r="A5" t="s">
        <v>28</v>
      </c>
      <c r="B5" t="s">
        <v>38</v>
      </c>
      <c r="C5" t="str">
        <f>TEXT(Results_Table5!X20,"0.000")&amp;" ± "&amp;TEXT(Results_Table5!Y20,"0.000")</f>
        <v>0.652 ± 0.016</v>
      </c>
      <c r="D5" t="str">
        <f>TEXT(Results_Table5!X21,"0.000")&amp;" ± "&amp;TEXT(Results_Table5!Y21,"0.000")</f>
        <v>0.864 ± 0.036</v>
      </c>
      <c r="E5" t="str">
        <f>TEXT(Results_Table5!X22,"0.000")&amp;" ± "&amp;TEXT(Results_Table5!Y22,"0.000")</f>
        <v>5.515 ± 0.164</v>
      </c>
      <c r="F5" t="str">
        <f>TEXT(Results_Table5!X23,"0.000")&amp;" ± "&amp;TEXT(Results_Table5!Y23,"0.000")</f>
        <v>0.889 ± 0.004</v>
      </c>
      <c r="G5" t="str">
        <f>TEXT(Results_Table5!X24,"0.000")&amp;" ± "&amp;TEXT(Results_Table5!Y24,"0.000")</f>
        <v>94.682 ± 0.883</v>
      </c>
      <c r="H5" t="str">
        <f>TEXT(Results_Table5!X25,"0.000")&amp;" ± "&amp;TEXT(Results_Table5!Y25,"0.000")</f>
        <v>0.214 ± 0.011</v>
      </c>
    </row>
    <row r="6" spans="1:8" x14ac:dyDescent="0.25">
      <c r="A6" t="s">
        <v>28</v>
      </c>
      <c r="B6" t="s">
        <v>39</v>
      </c>
      <c r="C6" t="str">
        <f>TEXT(Results_Table5!X26,"0.000")&amp;" ± "&amp;TEXT(Results_Table5!Y26,"0.000")</f>
        <v>0.605 ± 0.020</v>
      </c>
      <c r="D6" t="str">
        <f>TEXT(Results_Table5!X27,"0.000")&amp;" ± "&amp;TEXT(Results_Table5!Y27,"0.000")</f>
        <v>0.802 ± 0.020</v>
      </c>
      <c r="E6" t="str">
        <f>TEXT(Results_Table5!X28,"0.000")&amp;" ± "&amp;TEXT(Results_Table5!Y28,"0.000")</f>
        <v>5.101 ± 0.180</v>
      </c>
      <c r="F6" t="str">
        <f>TEXT(Results_Table5!X29,"0.000")&amp;" ± "&amp;TEXT(Results_Table5!Y29,"0.000")</f>
        <v>0.898 ± 0.005</v>
      </c>
      <c r="G6" t="str">
        <f>TEXT(Results_Table5!X30,"0.000")&amp;" ± "&amp;TEXT(Results_Table5!Y30,"0.000")</f>
        <v>94.860 ± 0.565</v>
      </c>
      <c r="H6" t="str">
        <f>TEXT(Results_Table5!X31,"0.000")&amp;" ± "&amp;TEXT(Results_Table5!Y31,"0.000")</f>
        <v>0.192 ± 0.009</v>
      </c>
    </row>
    <row r="7" spans="1:8" x14ac:dyDescent="0.25">
      <c r="A7" t="s">
        <v>28</v>
      </c>
      <c r="B7" t="s">
        <v>40</v>
      </c>
      <c r="C7" t="str">
        <f>TEXT(Results_Table5!X32,"0.000")&amp;" ± "&amp;TEXT(Results_Table5!Y32,"0.000")</f>
        <v>0.550 ± 0.017</v>
      </c>
      <c r="D7" t="str">
        <f>TEXT(Results_Table5!X33,"0.000")&amp;" ± "&amp;TEXT(Results_Table5!Y33,"0.000")</f>
        <v>0.727 ± 0.013</v>
      </c>
      <c r="E7" t="str">
        <f>TEXT(Results_Table5!X34,"0.000")&amp;" ± "&amp;TEXT(Results_Table5!Y34,"0.000")</f>
        <v>4.628 ± 0.166</v>
      </c>
      <c r="F7" t="str">
        <f>TEXT(Results_Table5!X35,"0.000")&amp;" ± "&amp;TEXT(Results_Table5!Y35,"0.000")</f>
        <v>0.907 ± 0.004</v>
      </c>
      <c r="G7" t="str">
        <f>TEXT(Results_Table5!X36,"0.000")&amp;" ± "&amp;TEXT(Results_Table5!Y36,"0.000")</f>
        <v>94.506 ± 0.522</v>
      </c>
      <c r="H7" t="str">
        <f>TEXT(Results_Table5!X37,"0.000")&amp;" ± "&amp;TEXT(Results_Table5!Y37,"0.000")</f>
        <v>0.172 ± 0.007</v>
      </c>
    </row>
    <row r="8" spans="1:8" x14ac:dyDescent="0.25">
      <c r="A8" t="s">
        <v>41</v>
      </c>
      <c r="B8" t="s">
        <v>42</v>
      </c>
      <c r="C8" t="str">
        <f>TEXT(Results_Table5!X38,"0.000")&amp;" ± "&amp;TEXT(Results_Table5!Y38,"0.000")</f>
        <v>0.804 ± 0.021</v>
      </c>
      <c r="D8" t="str">
        <f>TEXT(Results_Table5!X39,"0.000")&amp;" ± "&amp;TEXT(Results_Table5!Y39,"0.000")</f>
        <v>1.067 ± 0.032</v>
      </c>
      <c r="E8" t="str">
        <f>TEXT(Results_Table5!X40,"0.000")&amp;" ± "&amp;TEXT(Results_Table5!Y40,"0.000")</f>
        <v>6.757 ± 0.251</v>
      </c>
      <c r="F8" t="str">
        <f>TEXT(Results_Table5!X41,"0.000")&amp;" ± "&amp;TEXT(Results_Table5!Y41,"0.000")</f>
        <v>0.863 ± 0.005</v>
      </c>
      <c r="G8" t="str">
        <f>TEXT(Results_Table5!X42,"0.000")&amp;" ± "&amp;TEXT(Results_Table5!Y42,"0.000")</f>
        <v>94.987 ± 0.729</v>
      </c>
      <c r="H8" t="str">
        <f>TEXT(Results_Table5!X43,"0.000")&amp;" ± "&amp;TEXT(Results_Table5!Y43,"0.000")</f>
        <v>0.270 ± 0.011</v>
      </c>
    </row>
    <row r="9" spans="1:8" x14ac:dyDescent="0.25">
      <c r="A9" t="s">
        <v>41</v>
      </c>
      <c r="B9" t="s">
        <v>43</v>
      </c>
      <c r="C9" t="str">
        <f>TEXT(Results_Table5!X44,"0.000")&amp;" ± "&amp;TEXT(Results_Table5!Y44,"0.000")</f>
        <v>0.762 ± 0.031</v>
      </c>
      <c r="D9" t="str">
        <f>TEXT(Results_Table5!X45,"0.000")&amp;" ± "&amp;TEXT(Results_Table5!Y45,"0.000")</f>
        <v>1.006 ± 0.042</v>
      </c>
      <c r="E9" t="str">
        <f>TEXT(Results_Table5!X46,"0.000")&amp;" ± "&amp;TEXT(Results_Table5!Y46,"0.000")</f>
        <v>6.439 ± 0.255</v>
      </c>
      <c r="F9" t="str">
        <f>TEXT(Results_Table5!X47,"0.000")&amp;" ± "&amp;TEXT(Results_Table5!Y47,"0.000")</f>
        <v>0.871 ± 0.005</v>
      </c>
      <c r="G9" t="str">
        <f>TEXT(Results_Table5!X48,"0.000")&amp;" ± "&amp;TEXT(Results_Table5!Y48,"0.000")</f>
        <v>94.854 ± 0.722</v>
      </c>
      <c r="H9" t="str">
        <f>TEXT(Results_Table5!X49,"0.000")&amp;" ± "&amp;TEXT(Results_Table5!Y49,"0.000")</f>
        <v>0.250 ± 0.015</v>
      </c>
    </row>
    <row r="10" spans="1:8" x14ac:dyDescent="0.25">
      <c r="A10" t="s">
        <v>41</v>
      </c>
      <c r="B10" t="s">
        <v>44</v>
      </c>
      <c r="C10" t="str">
        <f>TEXT(Results_Table5!X50,"0.000")&amp;" ± "&amp;TEXT(Results_Table5!Y50,"0.000")</f>
        <v>0.713 ± 0.042</v>
      </c>
      <c r="D10" t="str">
        <f>TEXT(Results_Table5!X51,"0.000")&amp;" ± "&amp;TEXT(Results_Table5!Y51,"0.000")</f>
        <v>0.945 ± 0.031</v>
      </c>
      <c r="E10" t="str">
        <f>TEXT(Results_Table5!X52,"0.000")&amp;" ± "&amp;TEXT(Results_Table5!Y52,"0.000")</f>
        <v>5.980 ± 0.302</v>
      </c>
      <c r="F10" t="str">
        <f>TEXT(Results_Table5!X53,"0.000")&amp;" ± "&amp;TEXT(Results_Table5!Y53,"0.000")</f>
        <v>0.879 ± 0.005</v>
      </c>
      <c r="G10" t="str">
        <f>TEXT(Results_Table5!X54,"0.000")&amp;" ± "&amp;TEXT(Results_Table5!Y54,"0.000")</f>
        <v>94.489 ± 0.727</v>
      </c>
      <c r="H10" t="str">
        <f>TEXT(Results_Table5!X55,"0.000")&amp;" ± "&amp;TEXT(Results_Table5!Y55,"0.000")</f>
        <v>0.235 ± 0.012</v>
      </c>
    </row>
    <row r="11" spans="1:8" x14ac:dyDescent="0.25">
      <c r="A11" t="s">
        <v>41</v>
      </c>
      <c r="B11" t="s">
        <v>45</v>
      </c>
      <c r="C11" t="str">
        <f>TEXT(Results_Table5!X56,"0.000")&amp;" ± "&amp;TEXT(Results_Table5!Y56,"0.000")</f>
        <v>0.659 ± 0.023</v>
      </c>
      <c r="D11" t="str">
        <f>TEXT(Results_Table5!X57,"0.000")&amp;" ± "&amp;TEXT(Results_Table5!Y57,"0.000")</f>
        <v>0.872 ± 0.028</v>
      </c>
      <c r="E11" t="str">
        <f>TEXT(Results_Table5!X58,"0.000")&amp;" ± "&amp;TEXT(Results_Table5!Y58,"0.000")</f>
        <v>5.574 ± 0.239</v>
      </c>
      <c r="F11" t="str">
        <f>TEXT(Results_Table5!X59,"0.000")&amp;" ± "&amp;TEXT(Results_Table5!Y59,"0.000")</f>
        <v>0.890 ± 0.004</v>
      </c>
      <c r="G11" t="str">
        <f>TEXT(Results_Table5!X60,"0.000")&amp;" ± "&amp;TEXT(Results_Table5!Y60,"0.000")</f>
        <v>94.782 ± 0.719</v>
      </c>
      <c r="H11" t="str">
        <f>TEXT(Results_Table5!X61,"0.000")&amp;" ± "&amp;TEXT(Results_Table5!Y61,"0.000")</f>
        <v>0.208 ± 0.011</v>
      </c>
    </row>
    <row r="12" spans="1:8" x14ac:dyDescent="0.25">
      <c r="A12" t="s">
        <v>41</v>
      </c>
      <c r="B12" t="s">
        <v>46</v>
      </c>
      <c r="C12" t="str">
        <f>TEXT(Results_Table5!X62,"0.000")&amp;" ± "&amp;TEXT(Results_Table5!Y62,"0.000")</f>
        <v>0.606 ± 0.022</v>
      </c>
      <c r="D12" t="str">
        <f>TEXT(Results_Table5!X63,"0.000")&amp;" ± "&amp;TEXT(Results_Table5!Y63,"0.000")</f>
        <v>0.801 ± 0.022</v>
      </c>
      <c r="E12" t="str">
        <f>TEXT(Results_Table5!X64,"0.000")&amp;" ± "&amp;TEXT(Results_Table5!Y64,"0.000")</f>
        <v>5.134 ± 0.286</v>
      </c>
      <c r="F12" t="str">
        <f>TEXT(Results_Table5!X65,"0.000")&amp;" ± "&amp;TEXT(Results_Table5!Y65,"0.000")</f>
        <v>0.898 ± 0.004</v>
      </c>
      <c r="G12" t="str">
        <f>TEXT(Results_Table5!X66,"0.000")&amp;" ± "&amp;TEXT(Results_Table5!Y66,"0.000")</f>
        <v>94.725 ± 0.516</v>
      </c>
      <c r="H12" t="str">
        <f>TEXT(Results_Table5!X67,"0.000")&amp;" ± "&amp;TEXT(Results_Table5!Y67,"0.000")</f>
        <v>0.190 ± 0.008</v>
      </c>
    </row>
    <row r="13" spans="1:8" x14ac:dyDescent="0.25">
      <c r="A13" t="s">
        <v>41</v>
      </c>
      <c r="B13" t="s">
        <v>47</v>
      </c>
      <c r="C13" t="str">
        <f>TEXT(Results_Table5!X68,"0.000")&amp;" ± "&amp;TEXT(Results_Table5!Y68,"0.000")</f>
        <v>0.547 ± 0.014</v>
      </c>
      <c r="D13" t="str">
        <f>TEXT(Results_Table5!X69,"0.000")&amp;" ± "&amp;TEXT(Results_Table5!Y69,"0.000")</f>
        <v>0.727 ± 0.020</v>
      </c>
      <c r="E13" t="str">
        <f>TEXT(Results_Table5!X70,"0.000")&amp;" ± "&amp;TEXT(Results_Table5!Y70,"0.000")</f>
        <v>4.610 ± 0.143</v>
      </c>
      <c r="F13" t="str">
        <f>TEXT(Results_Table5!X71,"0.000")&amp;" ± "&amp;TEXT(Results_Table5!Y71,"0.000")</f>
        <v>0.907 ± 0.004</v>
      </c>
      <c r="G13" t="str">
        <f>TEXT(Results_Table5!X72,"0.000")&amp;" ± "&amp;TEXT(Results_Table5!Y72,"0.000")</f>
        <v>94.849 ± 0.557</v>
      </c>
      <c r="H13" t="str">
        <f>TEXT(Results_Table5!X73,"0.000")&amp;" ± "&amp;TEXT(Results_Table5!Y73,"0.000")</f>
        <v>0.177 ± 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Results_Table5</vt:lpstr>
      <vt:lpstr>Table5_Summary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2026-09-26T17:38:07Z</dcterms:created>
  <dcterms:modified xsi:type="dcterms:W3CDTF">2026-09-26T17:40:28Z</dcterms:modified>
</cp:coreProperties>
</file>