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38752F6C-59D5-491B-8101-13D550BD77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s_Table8" sheetId="1" r:id="rId1"/>
    <sheet name="Table8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" i="1"/>
  <c r="AA26" i="1"/>
  <c r="Z26" i="1"/>
  <c r="W26" i="1"/>
  <c r="AA25" i="1"/>
  <c r="Z25" i="1"/>
  <c r="Y25" i="1"/>
  <c r="W25" i="1"/>
  <c r="AA24" i="1"/>
  <c r="Z24" i="1"/>
  <c r="W24" i="1"/>
  <c r="D6" i="2" s="1"/>
  <c r="AA23" i="1"/>
  <c r="Z23" i="1"/>
  <c r="W23" i="1"/>
  <c r="AA22" i="1"/>
  <c r="Z22" i="1"/>
  <c r="W22" i="1"/>
  <c r="B6" i="2" s="1"/>
  <c r="AA21" i="1"/>
  <c r="Z21" i="1"/>
  <c r="Y21" i="1"/>
  <c r="W21" i="1"/>
  <c r="F5" i="2" s="1"/>
  <c r="AA20" i="1"/>
  <c r="Z20" i="1"/>
  <c r="Y20" i="1"/>
  <c r="W20" i="1"/>
  <c r="AA19" i="1"/>
  <c r="Z19" i="1"/>
  <c r="W19" i="1"/>
  <c r="AA18" i="1"/>
  <c r="Z18" i="1"/>
  <c r="W18" i="1"/>
  <c r="C5" i="2" s="1"/>
  <c r="AA17" i="1"/>
  <c r="Z17" i="1"/>
  <c r="W17" i="1"/>
  <c r="B5" i="2" s="1"/>
  <c r="AA16" i="1"/>
  <c r="Z16" i="1"/>
  <c r="W16" i="1"/>
  <c r="AA15" i="1"/>
  <c r="Z15" i="1"/>
  <c r="Y15" i="1"/>
  <c r="W15" i="1"/>
  <c r="AA14" i="1"/>
  <c r="Z14" i="1"/>
  <c r="W14" i="1"/>
  <c r="AA13" i="1"/>
  <c r="Z13" i="1"/>
  <c r="W13" i="1"/>
  <c r="AA12" i="1"/>
  <c r="Z12" i="1"/>
  <c r="Y12" i="1"/>
  <c r="W12" i="1"/>
  <c r="B4" i="2" s="1"/>
  <c r="AA11" i="1"/>
  <c r="Z11" i="1"/>
  <c r="Y11" i="1"/>
  <c r="W11" i="1"/>
  <c r="AA10" i="1"/>
  <c r="Z10" i="1"/>
  <c r="W10" i="1"/>
  <c r="E3" i="2" s="1"/>
  <c r="AA9" i="1"/>
  <c r="Z9" i="1"/>
  <c r="Y9" i="1"/>
  <c r="W9" i="1"/>
  <c r="AA8" i="1"/>
  <c r="Z8" i="1"/>
  <c r="Y8" i="1"/>
  <c r="W8" i="1"/>
  <c r="AA7" i="1"/>
  <c r="Z7" i="1"/>
  <c r="W7" i="1"/>
  <c r="AA6" i="1"/>
  <c r="Z6" i="1"/>
  <c r="Y6" i="1"/>
  <c r="W6" i="1"/>
  <c r="AA5" i="1"/>
  <c r="Z5" i="1"/>
  <c r="Y5" i="1"/>
  <c r="W5" i="1"/>
  <c r="AA4" i="1"/>
  <c r="Z4" i="1"/>
  <c r="W4" i="1"/>
  <c r="AA3" i="1"/>
  <c r="Z3" i="1"/>
  <c r="Y3" i="1"/>
  <c r="W3" i="1"/>
  <c r="C2" i="2" s="1"/>
  <c r="AA2" i="1"/>
  <c r="Z2" i="1"/>
  <c r="W2" i="1"/>
  <c r="B2" i="2" s="1"/>
  <c r="F6" i="2" l="1"/>
  <c r="C3" i="2"/>
  <c r="Y26" i="1"/>
  <c r="Y23" i="1"/>
  <c r="Y18" i="1"/>
  <c r="Y17" i="1"/>
  <c r="Y14" i="1"/>
  <c r="Y13" i="1"/>
  <c r="Y10" i="1"/>
  <c r="Y7" i="1"/>
  <c r="Y4" i="1"/>
  <c r="Y24" i="1"/>
  <c r="Y16" i="1"/>
  <c r="Y22" i="1"/>
  <c r="Y2" i="1"/>
  <c r="C6" i="2"/>
  <c r="E6" i="2"/>
  <c r="F4" i="2"/>
  <c r="E4" i="2"/>
  <c r="B3" i="2"/>
  <c r="E2" i="2"/>
  <c r="D3" i="2"/>
  <c r="E5" i="2"/>
  <c r="D4" i="2"/>
  <c r="F3" i="2"/>
  <c r="F2" i="2"/>
  <c r="C4" i="2"/>
  <c r="D2" i="2"/>
  <c r="Y19" i="1"/>
  <c r="D5" i="2"/>
</calcChain>
</file>

<file path=xl/sharedStrings.xml><?xml version="1.0" encoding="utf-8"?>
<sst xmlns="http://schemas.openxmlformats.org/spreadsheetml/2006/main" count="88" uniqueCount="38">
  <si>
    <t>Initialization / Configuration</t>
  </si>
  <si>
    <t>Adaptation Stage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</si>
  <si>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</si>
  <si>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</si>
  <si>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</si>
  <si>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</si>
  <si>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</si>
  <si>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</si>
  <si>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</si>
  <si>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</si>
  <si>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</si>
  <si>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</si>
  <si>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</si>
  <si>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</si>
  <si>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</si>
  <si>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</si>
  <si>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</si>
  <si>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</si>
  <si>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</si>
  <si>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</si>
  <si>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</si>
  <si>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</si>
  <si>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</si>
  <si>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</si>
  <si>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</si>
  <si>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</si>
  <si>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</si>
  <si>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Random private initialization</t>
  </si>
  <si>
    <t>N_min^PM</t>
  </si>
  <si>
    <t>+24 h</t>
  </si>
  <si>
    <t>+72 h</t>
  </si>
  <si>
    <t>+7 d</t>
  </si>
  <si>
    <t>Continual</t>
  </si>
  <si>
    <t>Source-private initialization</t>
  </si>
  <si>
    <t>Random + shared alignment</t>
  </si>
  <si>
    <t>Transferred + no separation</t>
  </si>
  <si>
    <t>Transferred + full objective</t>
  </si>
  <si>
    <t>Initialization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</si>
</sst>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abSelected="1" workbookViewId="0">
      <pane xSplit="2" ySplit="1" topLeftCell="I2" activePane="bottomRight" state="frozen"/>
      <selection pane="topRight"/>
      <selection pane="bottomLeft"/>
      <selection pane="bottomRight" activeCell="V27" sqref="V27"/>
    </sheetView>
  </sheetViews>
  <sheetFormatPr defaultRowHeight="15" x14ac:dyDescent="0.25"/>
  <cols>
    <col min="1" max="1" width="34" customWidth="1"/>
    <col min="2" max="2" width="17" customWidth="1"/>
    <col min="3" max="27" width="1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s="2">
        <v>6.6516000000000002</v>
      </c>
      <c r="D2" s="2">
        <v>5.5643000000000002</v>
      </c>
      <c r="E2" s="2">
        <v>6.1729000000000003</v>
      </c>
      <c r="F2" s="2">
        <v>7.0563000000000002</v>
      </c>
      <c r="G2" s="2">
        <v>5.7248999999999999</v>
      </c>
      <c r="H2" s="2">
        <v>6.2888999999999999</v>
      </c>
      <c r="I2" s="2">
        <v>7.5949</v>
      </c>
      <c r="J2" s="2">
        <v>7.4751000000000003</v>
      </c>
      <c r="K2" s="2">
        <v>5.2117000000000004</v>
      </c>
      <c r="L2" s="2">
        <v>5.8388</v>
      </c>
      <c r="M2" s="2">
        <v>6.6818999999999997</v>
      </c>
      <c r="N2" s="2">
        <v>5.7011000000000003</v>
      </c>
      <c r="O2" s="2">
        <v>6.3150000000000004</v>
      </c>
      <c r="P2" s="2">
        <v>6.3851000000000004</v>
      </c>
      <c r="Q2" s="2">
        <v>6.0488</v>
      </c>
      <c r="R2" s="2">
        <v>7.7122000000000002</v>
      </c>
      <c r="S2" s="2">
        <v>6.3167999999999997</v>
      </c>
      <c r="T2" s="2">
        <v>7.2721</v>
      </c>
      <c r="U2" s="2">
        <v>6.9234999999999998</v>
      </c>
      <c r="V2" s="2">
        <v>7.4736000000000002</v>
      </c>
      <c r="W2" s="2">
        <f t="shared" ref="W2:W26" si="0">AVERAGE(C2:V2)</f>
        <v>6.5204749999999994</v>
      </c>
      <c r="X2" s="2">
        <f>_xlfn.STDEV.S(C2:V2)</f>
        <v>0.7379624928958558</v>
      </c>
      <c r="Y2" s="2">
        <f t="shared" ref="Y2:Y26" si="1">IFERROR(X2/ABS(W2)*100,"")</f>
        <v>11.317618622812846</v>
      </c>
      <c r="Z2" s="2">
        <f t="shared" ref="Z2:Z26" si="2">MIN(C2:V2)</f>
        <v>5.2117000000000004</v>
      </c>
      <c r="AA2" s="2">
        <f t="shared" ref="AA2:AA26" si="3">MAX(C2:V2)</f>
        <v>7.7122000000000002</v>
      </c>
    </row>
    <row r="3" spans="1:27" x14ac:dyDescent="0.25">
      <c r="A3" t="s">
        <v>27</v>
      </c>
      <c r="B3" t="s">
        <v>29</v>
      </c>
      <c r="C3" s="2">
        <v>5.5677000000000003</v>
      </c>
      <c r="D3" s="2">
        <v>6.3967999999999998</v>
      </c>
      <c r="E3" s="2">
        <v>4.8676000000000004</v>
      </c>
      <c r="F3" s="2">
        <v>4.4570999999999996</v>
      </c>
      <c r="G3" s="2">
        <v>5.7454000000000001</v>
      </c>
      <c r="H3" s="2">
        <v>5.5321999999999996</v>
      </c>
      <c r="I3" s="2">
        <v>6.3669000000000002</v>
      </c>
      <c r="J3" s="2">
        <v>6.2252000000000001</v>
      </c>
      <c r="K3" s="2">
        <v>5.8117999999999999</v>
      </c>
      <c r="L3" s="2">
        <v>7.2519999999999998</v>
      </c>
      <c r="M3" s="2">
        <v>5.7145999999999999</v>
      </c>
      <c r="N3" s="2">
        <v>6.9772999999999996</v>
      </c>
      <c r="O3" s="2">
        <v>4.8042999999999996</v>
      </c>
      <c r="P3" s="2">
        <v>5.8628</v>
      </c>
      <c r="Q3" s="2">
        <v>5.0856000000000003</v>
      </c>
      <c r="R3" s="2">
        <v>6.3094000000000001</v>
      </c>
      <c r="S3" s="2">
        <v>4.7462999999999997</v>
      </c>
      <c r="T3" s="2">
        <v>5.9428999999999998</v>
      </c>
      <c r="U3" s="2">
        <v>6.4833999999999996</v>
      </c>
      <c r="V3" s="2">
        <v>7.1970999999999998</v>
      </c>
      <c r="W3" s="2">
        <f t="shared" si="0"/>
        <v>5.8673200000000012</v>
      </c>
      <c r="X3" s="2">
        <f t="shared" ref="X3:X26" si="4">_xlfn.STDEV.S(C3:V3)</f>
        <v>0.80739120212147375</v>
      </c>
      <c r="Y3" s="2">
        <f t="shared" si="1"/>
        <v>13.760817581476273</v>
      </c>
      <c r="Z3" s="2">
        <f t="shared" si="2"/>
        <v>4.4570999999999996</v>
      </c>
      <c r="AA3" s="2">
        <f t="shared" si="3"/>
        <v>7.2519999999999998</v>
      </c>
    </row>
    <row r="4" spans="1:27" x14ac:dyDescent="0.25">
      <c r="A4" t="s">
        <v>27</v>
      </c>
      <c r="B4" t="s">
        <v>30</v>
      </c>
      <c r="C4" s="2">
        <v>4.9215999999999998</v>
      </c>
      <c r="D4" s="2">
        <v>5.0290999999999997</v>
      </c>
      <c r="E4" s="2">
        <v>4.4505999999999997</v>
      </c>
      <c r="F4" s="2">
        <v>5.9130000000000003</v>
      </c>
      <c r="G4" s="2">
        <v>5.7222</v>
      </c>
      <c r="H4" s="2">
        <v>5.5117000000000003</v>
      </c>
      <c r="I4" s="2">
        <v>3.9068999999999998</v>
      </c>
      <c r="J4" s="2">
        <v>4.5354000000000001</v>
      </c>
      <c r="K4" s="2">
        <v>5.4996</v>
      </c>
      <c r="L4" s="2">
        <v>5.7670000000000003</v>
      </c>
      <c r="M4" s="2">
        <v>5.2526999999999999</v>
      </c>
      <c r="N4" s="2">
        <v>4.4645999999999999</v>
      </c>
      <c r="O4" s="2">
        <v>4.5732999999999997</v>
      </c>
      <c r="P4" s="2">
        <v>4.9870000000000001</v>
      </c>
      <c r="Q4" s="2">
        <v>5.1379999999999999</v>
      </c>
      <c r="R4" s="2">
        <v>5.8162000000000003</v>
      </c>
      <c r="S4" s="2">
        <v>5.8190999999999997</v>
      </c>
      <c r="T4" s="2">
        <v>5.5712999999999999</v>
      </c>
      <c r="U4" s="2">
        <v>5.3914999999999997</v>
      </c>
      <c r="V4" s="2">
        <v>5.3966000000000003</v>
      </c>
      <c r="W4" s="2">
        <f t="shared" si="0"/>
        <v>5.18337</v>
      </c>
      <c r="X4" s="2">
        <f t="shared" si="4"/>
        <v>0.56325101172614644</v>
      </c>
      <c r="Y4" s="2">
        <f t="shared" si="1"/>
        <v>10.866502135216017</v>
      </c>
      <c r="Z4" s="2">
        <f t="shared" si="2"/>
        <v>3.9068999999999998</v>
      </c>
      <c r="AA4" s="2">
        <f t="shared" si="3"/>
        <v>5.9130000000000003</v>
      </c>
    </row>
    <row r="5" spans="1:27" x14ac:dyDescent="0.25">
      <c r="A5" t="s">
        <v>27</v>
      </c>
      <c r="B5" t="s">
        <v>31</v>
      </c>
      <c r="C5" s="2">
        <v>4.6611000000000002</v>
      </c>
      <c r="D5" s="2">
        <v>4.8952</v>
      </c>
      <c r="E5" s="2">
        <v>4.2241</v>
      </c>
      <c r="F5" s="2">
        <v>4.1736000000000004</v>
      </c>
      <c r="G5" s="2">
        <v>5.0926999999999998</v>
      </c>
      <c r="H5" s="2">
        <v>3.9192999999999998</v>
      </c>
      <c r="I5" s="2">
        <v>4.3954000000000004</v>
      </c>
      <c r="J5" s="2">
        <v>4.4717000000000002</v>
      </c>
      <c r="K5" s="2">
        <v>4.2403000000000004</v>
      </c>
      <c r="L5" s="2">
        <v>4.3167</v>
      </c>
      <c r="M5" s="2">
        <v>4.4985999999999997</v>
      </c>
      <c r="N5" s="2">
        <v>4.6043000000000003</v>
      </c>
      <c r="O5" s="2">
        <v>4.2552000000000003</v>
      </c>
      <c r="P5" s="2">
        <v>4.9648000000000003</v>
      </c>
      <c r="Q5" s="2">
        <v>4.8681999999999999</v>
      </c>
      <c r="R5" s="2">
        <v>4.6978999999999997</v>
      </c>
      <c r="S5" s="2">
        <v>4.3381999999999996</v>
      </c>
      <c r="T5" s="2">
        <v>5.5498000000000003</v>
      </c>
      <c r="U5" s="2">
        <v>4.2455999999999996</v>
      </c>
      <c r="V5" s="2">
        <v>4.2060000000000004</v>
      </c>
      <c r="W5" s="2">
        <f t="shared" si="0"/>
        <v>4.5309350000000013</v>
      </c>
      <c r="X5" s="2">
        <f t="shared" si="4"/>
        <v>0.38986787002643264</v>
      </c>
      <c r="Y5" s="2">
        <f t="shared" si="1"/>
        <v>8.6045787464713701</v>
      </c>
      <c r="Z5" s="2">
        <f t="shared" si="2"/>
        <v>3.9192999999999998</v>
      </c>
      <c r="AA5" s="2">
        <f t="shared" si="3"/>
        <v>5.5498000000000003</v>
      </c>
    </row>
    <row r="6" spans="1:27" x14ac:dyDescent="0.25">
      <c r="A6" t="s">
        <v>27</v>
      </c>
      <c r="B6" t="s">
        <v>32</v>
      </c>
      <c r="C6" s="2">
        <v>4.1513999999999998</v>
      </c>
      <c r="D6" s="2">
        <v>4.6862000000000004</v>
      </c>
      <c r="E6" s="2">
        <v>3.5617000000000001</v>
      </c>
      <c r="F6" s="2">
        <v>4.0582000000000003</v>
      </c>
      <c r="G6" s="2">
        <v>4.4667000000000003</v>
      </c>
      <c r="H6" s="2">
        <v>3.7905000000000002</v>
      </c>
      <c r="I6" s="2">
        <v>3.9049999999999998</v>
      </c>
      <c r="J6" s="2">
        <v>4.0750000000000002</v>
      </c>
      <c r="K6" s="2">
        <v>4.4565000000000001</v>
      </c>
      <c r="L6" s="2">
        <v>4.4170999999999996</v>
      </c>
      <c r="M6" s="2">
        <v>3.9906000000000001</v>
      </c>
      <c r="N6" s="2">
        <v>4.0796000000000001</v>
      </c>
      <c r="O6" s="2">
        <v>4.4795999999999996</v>
      </c>
      <c r="P6" s="2">
        <v>4.5396000000000001</v>
      </c>
      <c r="Q6" s="2">
        <v>3.8965000000000001</v>
      </c>
      <c r="R6" s="2">
        <v>3.8271000000000002</v>
      </c>
      <c r="S6" s="2">
        <v>3.7463000000000002</v>
      </c>
      <c r="T6" s="2">
        <v>4.2853000000000003</v>
      </c>
      <c r="U6" s="2">
        <v>4.6459999999999999</v>
      </c>
      <c r="V6" s="2">
        <v>4.2933000000000003</v>
      </c>
      <c r="W6" s="2">
        <f t="shared" si="0"/>
        <v>4.1676100000000007</v>
      </c>
      <c r="X6" s="2">
        <f t="shared" si="4"/>
        <v>0.32472289871114479</v>
      </c>
      <c r="Y6" s="2">
        <f t="shared" si="1"/>
        <v>7.7915855540980257</v>
      </c>
      <c r="Z6" s="2">
        <f t="shared" si="2"/>
        <v>3.5617000000000001</v>
      </c>
      <c r="AA6" s="2">
        <f t="shared" si="3"/>
        <v>4.6862000000000004</v>
      </c>
    </row>
    <row r="7" spans="1:27" x14ac:dyDescent="0.25">
      <c r="A7" t="s">
        <v>33</v>
      </c>
      <c r="B7" t="s">
        <v>28</v>
      </c>
      <c r="C7" s="2">
        <v>7.2464000000000004</v>
      </c>
      <c r="D7" s="2">
        <v>5.7671999999999999</v>
      </c>
      <c r="E7" s="2">
        <v>6.0953999999999997</v>
      </c>
      <c r="F7" s="2">
        <v>5.4353999999999996</v>
      </c>
      <c r="G7" s="2">
        <v>5.6940999999999997</v>
      </c>
      <c r="H7" s="2">
        <v>6.3282999999999996</v>
      </c>
      <c r="I7" s="2">
        <v>7.1464999999999996</v>
      </c>
      <c r="J7" s="2">
        <v>5.0110999999999999</v>
      </c>
      <c r="K7" s="2">
        <v>6.0415999999999999</v>
      </c>
      <c r="L7" s="2">
        <v>6.1436000000000002</v>
      </c>
      <c r="M7" s="2">
        <v>5.4766000000000004</v>
      </c>
      <c r="N7" s="2">
        <v>5.6070000000000002</v>
      </c>
      <c r="O7" s="2">
        <v>5.85</v>
      </c>
      <c r="P7" s="2">
        <v>5.1967999999999996</v>
      </c>
      <c r="Q7" s="2">
        <v>6.5382999999999996</v>
      </c>
      <c r="R7" s="2">
        <v>6.0141999999999998</v>
      </c>
      <c r="S7" s="2">
        <v>5.8693</v>
      </c>
      <c r="T7" s="2">
        <v>5.8558000000000003</v>
      </c>
      <c r="U7" s="2">
        <v>5.7016</v>
      </c>
      <c r="V7" s="2">
        <v>5.3925999999999998</v>
      </c>
      <c r="W7" s="2">
        <f t="shared" si="0"/>
        <v>5.9205899999999989</v>
      </c>
      <c r="X7" s="2">
        <f t="shared" si="4"/>
        <v>0.57158162920278088</v>
      </c>
      <c r="Y7" s="2">
        <f t="shared" si="1"/>
        <v>9.6541329361225987</v>
      </c>
      <c r="Z7" s="2">
        <f t="shared" si="2"/>
        <v>5.0110999999999999</v>
      </c>
      <c r="AA7" s="2">
        <f t="shared" si="3"/>
        <v>7.2464000000000004</v>
      </c>
    </row>
    <row r="8" spans="1:27" x14ac:dyDescent="0.25">
      <c r="A8" t="s">
        <v>33</v>
      </c>
      <c r="B8" t="s">
        <v>29</v>
      </c>
      <c r="C8" s="2">
        <v>4.8483999999999998</v>
      </c>
      <c r="D8" s="2">
        <v>5.5961999999999996</v>
      </c>
      <c r="E8" s="2">
        <v>5.7778999999999998</v>
      </c>
      <c r="F8" s="2">
        <v>5.3089000000000004</v>
      </c>
      <c r="G8" s="2">
        <v>6.1359000000000004</v>
      </c>
      <c r="H8" s="2">
        <v>5.2877000000000001</v>
      </c>
      <c r="I8" s="2">
        <v>5.3207000000000004</v>
      </c>
      <c r="J8" s="2">
        <v>5.4645999999999999</v>
      </c>
      <c r="K8" s="2">
        <v>5.4077999999999999</v>
      </c>
      <c r="L8" s="2">
        <v>5.8422000000000001</v>
      </c>
      <c r="M8" s="2">
        <v>4.6083999999999996</v>
      </c>
      <c r="N8" s="2">
        <v>5.1186999999999996</v>
      </c>
      <c r="O8" s="2">
        <v>4.5541999999999998</v>
      </c>
      <c r="P8" s="2">
        <v>5.9896000000000003</v>
      </c>
      <c r="Q8" s="2">
        <v>4.9099000000000004</v>
      </c>
      <c r="R8" s="2">
        <v>5.7777000000000003</v>
      </c>
      <c r="S8" s="2">
        <v>4.9459</v>
      </c>
      <c r="T8" s="2">
        <v>5.2046999999999999</v>
      </c>
      <c r="U8" s="2">
        <v>5.6113</v>
      </c>
      <c r="V8" s="2">
        <v>4.7602000000000002</v>
      </c>
      <c r="W8" s="2">
        <f t="shared" si="0"/>
        <v>5.3235449999999993</v>
      </c>
      <c r="X8" s="2">
        <f t="shared" si="4"/>
        <v>0.45809345688062625</v>
      </c>
      <c r="Y8" s="2">
        <f t="shared" si="1"/>
        <v>8.605045263647181</v>
      </c>
      <c r="Z8" s="2">
        <f t="shared" si="2"/>
        <v>4.5541999999999998</v>
      </c>
      <c r="AA8" s="2">
        <f t="shared" si="3"/>
        <v>6.1359000000000004</v>
      </c>
    </row>
    <row r="9" spans="1:27" x14ac:dyDescent="0.25">
      <c r="A9" t="s">
        <v>33</v>
      </c>
      <c r="B9" t="s">
        <v>30</v>
      </c>
      <c r="C9" s="2">
        <v>4.2104999999999997</v>
      </c>
      <c r="D9" s="2">
        <v>4.4842000000000004</v>
      </c>
      <c r="E9" s="2">
        <v>5.2550999999999997</v>
      </c>
      <c r="F9" s="2">
        <v>4.5789999999999997</v>
      </c>
      <c r="G9" s="2">
        <v>4.7404000000000002</v>
      </c>
      <c r="H9" s="2">
        <v>3.9497</v>
      </c>
      <c r="I9" s="2">
        <v>5.0449000000000002</v>
      </c>
      <c r="J9" s="2">
        <v>5.0370999999999997</v>
      </c>
      <c r="K9" s="2">
        <v>4.5163000000000002</v>
      </c>
      <c r="L9" s="2">
        <v>5.3658000000000001</v>
      </c>
      <c r="M9" s="2">
        <v>4.976</v>
      </c>
      <c r="N9" s="2">
        <v>5.0069999999999997</v>
      </c>
      <c r="O9" s="2">
        <v>4.3585000000000003</v>
      </c>
      <c r="P9" s="2">
        <v>4.6379999999999999</v>
      </c>
      <c r="Q9" s="2">
        <v>5.1718999999999999</v>
      </c>
      <c r="R9" s="2">
        <v>5.2442000000000002</v>
      </c>
      <c r="S9" s="2">
        <v>4.6210000000000004</v>
      </c>
      <c r="T9" s="2">
        <v>4.9564000000000004</v>
      </c>
      <c r="U9" s="2">
        <v>4.2637999999999998</v>
      </c>
      <c r="V9" s="2">
        <v>3.8694000000000002</v>
      </c>
      <c r="W9" s="2">
        <f t="shared" si="0"/>
        <v>4.7144600000000008</v>
      </c>
      <c r="X9" s="2">
        <f t="shared" si="4"/>
        <v>0.4377495275178549</v>
      </c>
      <c r="Y9" s="2">
        <f t="shared" si="1"/>
        <v>9.2852527652765069</v>
      </c>
      <c r="Z9" s="2">
        <f t="shared" si="2"/>
        <v>3.8694000000000002</v>
      </c>
      <c r="AA9" s="2">
        <f t="shared" si="3"/>
        <v>5.3658000000000001</v>
      </c>
    </row>
    <row r="10" spans="1:27" x14ac:dyDescent="0.25">
      <c r="A10" t="s">
        <v>33</v>
      </c>
      <c r="B10" t="s">
        <v>31</v>
      </c>
      <c r="C10" s="2">
        <v>3.54</v>
      </c>
      <c r="D10" s="2">
        <v>4.6279000000000003</v>
      </c>
      <c r="E10" s="2">
        <v>3.8902999999999999</v>
      </c>
      <c r="F10" s="2">
        <v>5.2137000000000002</v>
      </c>
      <c r="G10" s="2">
        <v>3.9449000000000001</v>
      </c>
      <c r="H10" s="2">
        <v>3.8973</v>
      </c>
      <c r="I10" s="2">
        <v>4.1039000000000003</v>
      </c>
      <c r="J10" s="2">
        <v>4.5258000000000003</v>
      </c>
      <c r="K10" s="2">
        <v>3.7199</v>
      </c>
      <c r="L10" s="2">
        <v>4.2310999999999996</v>
      </c>
      <c r="M10" s="2">
        <v>4.1139000000000001</v>
      </c>
      <c r="N10" s="2">
        <v>3.8193000000000001</v>
      </c>
      <c r="O10" s="2">
        <v>3.5497000000000001</v>
      </c>
      <c r="P10" s="2">
        <v>4.5907999999999998</v>
      </c>
      <c r="Q10" s="2">
        <v>3.5369999999999999</v>
      </c>
      <c r="R10" s="2">
        <v>4.3141999999999996</v>
      </c>
      <c r="S10" s="2">
        <v>4.9231999999999996</v>
      </c>
      <c r="T10" s="2">
        <v>4.1584000000000003</v>
      </c>
      <c r="U10" s="2">
        <v>4.2960000000000003</v>
      </c>
      <c r="V10" s="2">
        <v>3.7664</v>
      </c>
      <c r="W10" s="2">
        <f t="shared" si="0"/>
        <v>4.138185</v>
      </c>
      <c r="X10" s="2">
        <f t="shared" si="4"/>
        <v>0.46293517253897065</v>
      </c>
      <c r="Y10" s="2">
        <f t="shared" si="1"/>
        <v>11.186913406214817</v>
      </c>
      <c r="Z10" s="2">
        <f t="shared" si="2"/>
        <v>3.5369999999999999</v>
      </c>
      <c r="AA10" s="2">
        <f t="shared" si="3"/>
        <v>5.2137000000000002</v>
      </c>
    </row>
    <row r="11" spans="1:27" x14ac:dyDescent="0.25">
      <c r="A11" t="s">
        <v>33</v>
      </c>
      <c r="B11" t="s">
        <v>32</v>
      </c>
      <c r="C11" s="2">
        <v>3.1425999999999998</v>
      </c>
      <c r="D11" s="2">
        <v>3.9192</v>
      </c>
      <c r="E11" s="2">
        <v>3.4356</v>
      </c>
      <c r="F11" s="2">
        <v>3.9220999999999999</v>
      </c>
      <c r="G11" s="2">
        <v>4.0738000000000003</v>
      </c>
      <c r="H11" s="2">
        <v>4.0880000000000001</v>
      </c>
      <c r="I11" s="2">
        <v>3.6229</v>
      </c>
      <c r="J11" s="2">
        <v>4.7294</v>
      </c>
      <c r="K11" s="2">
        <v>4.3590999999999998</v>
      </c>
      <c r="L11" s="2">
        <v>3.7389000000000001</v>
      </c>
      <c r="M11" s="2">
        <v>3.4426000000000001</v>
      </c>
      <c r="N11" s="2">
        <v>3.9626000000000001</v>
      </c>
      <c r="O11" s="2">
        <v>4.1090999999999998</v>
      </c>
      <c r="P11" s="2">
        <v>3.9390000000000001</v>
      </c>
      <c r="Q11" s="2">
        <v>4.0509000000000004</v>
      </c>
      <c r="R11" s="2">
        <v>3.7343000000000002</v>
      </c>
      <c r="S11" s="2">
        <v>4.0991999999999997</v>
      </c>
      <c r="T11" s="2">
        <v>3.3736999999999999</v>
      </c>
      <c r="U11" s="2">
        <v>3.8473999999999999</v>
      </c>
      <c r="V11" s="2">
        <v>3.2665000000000002</v>
      </c>
      <c r="W11" s="2">
        <f t="shared" si="0"/>
        <v>3.8428449999999992</v>
      </c>
      <c r="X11" s="2">
        <f t="shared" si="4"/>
        <v>0.38533488439483249</v>
      </c>
      <c r="Y11" s="2">
        <f t="shared" si="1"/>
        <v>10.027333509283684</v>
      </c>
      <c r="Z11" s="2">
        <f t="shared" si="2"/>
        <v>3.1425999999999998</v>
      </c>
      <c r="AA11" s="2">
        <f t="shared" si="3"/>
        <v>4.7294</v>
      </c>
    </row>
    <row r="12" spans="1:27" x14ac:dyDescent="0.25">
      <c r="A12" t="s">
        <v>34</v>
      </c>
      <c r="B12" t="s">
        <v>28</v>
      </c>
      <c r="C12" s="2">
        <v>6.6277999999999997</v>
      </c>
      <c r="D12" s="2">
        <v>6.9781000000000004</v>
      </c>
      <c r="E12" s="2">
        <v>6.2846000000000002</v>
      </c>
      <c r="F12" s="2">
        <v>6.0126999999999997</v>
      </c>
      <c r="G12" s="2">
        <v>5.4127000000000001</v>
      </c>
      <c r="H12" s="2">
        <v>5.7186000000000003</v>
      </c>
      <c r="I12" s="2">
        <v>6.0492999999999997</v>
      </c>
      <c r="J12" s="2">
        <v>6.7435</v>
      </c>
      <c r="K12" s="2">
        <v>5.8013000000000003</v>
      </c>
      <c r="L12" s="2">
        <v>6.4733999999999998</v>
      </c>
      <c r="M12" s="2">
        <v>7.4749999999999996</v>
      </c>
      <c r="N12" s="2">
        <v>6.0416999999999996</v>
      </c>
      <c r="O12" s="2">
        <v>6.2747999999999999</v>
      </c>
      <c r="P12" s="2">
        <v>6.9478</v>
      </c>
      <c r="Q12" s="2">
        <v>6.8486000000000002</v>
      </c>
      <c r="R12" s="2">
        <v>6.1844000000000001</v>
      </c>
      <c r="S12" s="2">
        <v>6.0864000000000003</v>
      </c>
      <c r="T12" s="2">
        <v>5.8856000000000002</v>
      </c>
      <c r="U12" s="2">
        <v>4.3746</v>
      </c>
      <c r="V12" s="2">
        <v>5.8456999999999999</v>
      </c>
      <c r="W12" s="2">
        <f t="shared" si="0"/>
        <v>6.2033299999999993</v>
      </c>
      <c r="X12" s="2">
        <f t="shared" si="4"/>
        <v>0.6664771256784725</v>
      </c>
      <c r="Y12" s="2">
        <f t="shared" si="1"/>
        <v>10.743860566477563</v>
      </c>
      <c r="Z12" s="2">
        <f t="shared" si="2"/>
        <v>4.3746</v>
      </c>
      <c r="AA12" s="2">
        <f t="shared" si="3"/>
        <v>7.4749999999999996</v>
      </c>
    </row>
    <row r="13" spans="1:27" x14ac:dyDescent="0.25">
      <c r="A13" t="s">
        <v>34</v>
      </c>
      <c r="B13" t="s">
        <v>29</v>
      </c>
      <c r="C13" s="2">
        <v>5.9363000000000001</v>
      </c>
      <c r="D13" s="2">
        <v>5.1993999999999998</v>
      </c>
      <c r="E13" s="2">
        <v>5.665</v>
      </c>
      <c r="F13" s="2">
        <v>5.7004000000000001</v>
      </c>
      <c r="G13" s="2">
        <v>5.6921999999999997</v>
      </c>
      <c r="H13" s="2">
        <v>5.9725000000000001</v>
      </c>
      <c r="I13" s="2">
        <v>5.3487999999999998</v>
      </c>
      <c r="J13" s="2">
        <v>5.0513000000000003</v>
      </c>
      <c r="K13" s="2">
        <v>5.6768000000000001</v>
      </c>
      <c r="L13" s="2">
        <v>5.5918000000000001</v>
      </c>
      <c r="M13" s="2">
        <v>6.1818</v>
      </c>
      <c r="N13" s="2">
        <v>5.1048999999999998</v>
      </c>
      <c r="O13" s="2">
        <v>5.5141999999999998</v>
      </c>
      <c r="P13" s="2">
        <v>5.3507999999999996</v>
      </c>
      <c r="Q13" s="2">
        <v>5.1288999999999998</v>
      </c>
      <c r="R13" s="2">
        <v>5.1101999999999999</v>
      </c>
      <c r="S13" s="2">
        <v>5.6948999999999996</v>
      </c>
      <c r="T13" s="2">
        <v>6.0057999999999998</v>
      </c>
      <c r="U13" s="2">
        <v>6.2168999999999999</v>
      </c>
      <c r="V13" s="2">
        <v>5.8219000000000003</v>
      </c>
      <c r="W13" s="2">
        <f t="shared" si="0"/>
        <v>5.5982399999999997</v>
      </c>
      <c r="X13" s="2">
        <f t="shared" si="4"/>
        <v>0.36444757098929886</v>
      </c>
      <c r="Y13" s="2">
        <f t="shared" si="1"/>
        <v>6.5100383511478412</v>
      </c>
      <c r="Z13" s="2">
        <f t="shared" si="2"/>
        <v>5.0513000000000003</v>
      </c>
      <c r="AA13" s="2">
        <f t="shared" si="3"/>
        <v>6.2168999999999999</v>
      </c>
    </row>
    <row r="14" spans="1:27" x14ac:dyDescent="0.25">
      <c r="A14" t="s">
        <v>34</v>
      </c>
      <c r="B14" t="s">
        <v>30</v>
      </c>
      <c r="C14" s="2">
        <v>4.1116000000000001</v>
      </c>
      <c r="D14" s="2">
        <v>5.2099000000000002</v>
      </c>
      <c r="E14" s="2">
        <v>5.5750000000000002</v>
      </c>
      <c r="F14" s="2">
        <v>5.3391999999999999</v>
      </c>
      <c r="G14" s="2">
        <v>5.6619999999999999</v>
      </c>
      <c r="H14" s="2">
        <v>5.5900999999999996</v>
      </c>
      <c r="I14" s="2">
        <v>4.6585000000000001</v>
      </c>
      <c r="J14" s="2">
        <v>5.2346000000000004</v>
      </c>
      <c r="K14" s="2">
        <v>4.7427000000000001</v>
      </c>
      <c r="L14" s="2">
        <v>5.0180999999999996</v>
      </c>
      <c r="M14" s="2">
        <v>4.8192000000000004</v>
      </c>
      <c r="N14" s="2">
        <v>4.7409999999999997</v>
      </c>
      <c r="O14" s="2">
        <v>4.5838000000000001</v>
      </c>
      <c r="P14" s="2">
        <v>5.0110000000000001</v>
      </c>
      <c r="Q14" s="2">
        <v>5.5125999999999999</v>
      </c>
      <c r="R14" s="2">
        <v>4.9017999999999997</v>
      </c>
      <c r="S14" s="2">
        <v>5.0396999999999998</v>
      </c>
      <c r="T14" s="2">
        <v>4.4798</v>
      </c>
      <c r="U14" s="2">
        <v>5.0016999999999996</v>
      </c>
      <c r="V14" s="2">
        <v>4.5900999999999996</v>
      </c>
      <c r="W14" s="2">
        <f t="shared" si="0"/>
        <v>4.9911199999999996</v>
      </c>
      <c r="X14" s="2">
        <f t="shared" si="4"/>
        <v>0.41598263830167365</v>
      </c>
      <c r="Y14" s="2">
        <f t="shared" si="1"/>
        <v>8.3344547576831189</v>
      </c>
      <c r="Z14" s="2">
        <f t="shared" si="2"/>
        <v>4.1116000000000001</v>
      </c>
      <c r="AA14" s="2">
        <f t="shared" si="3"/>
        <v>5.6619999999999999</v>
      </c>
    </row>
    <row r="15" spans="1:27" x14ac:dyDescent="0.25">
      <c r="A15" t="s">
        <v>34</v>
      </c>
      <c r="B15" t="s">
        <v>31</v>
      </c>
      <c r="C15" s="2">
        <v>3.9134000000000002</v>
      </c>
      <c r="D15" s="2">
        <v>4.9204999999999997</v>
      </c>
      <c r="E15" s="2">
        <v>4.2674000000000003</v>
      </c>
      <c r="F15" s="2">
        <v>4.2374999999999998</v>
      </c>
      <c r="G15" s="2">
        <v>4.4817</v>
      </c>
      <c r="H15" s="2">
        <v>3.6656</v>
      </c>
      <c r="I15" s="2">
        <v>4.3045999999999998</v>
      </c>
      <c r="J15" s="2">
        <v>3.9556</v>
      </c>
      <c r="K15" s="2">
        <v>5.0258000000000003</v>
      </c>
      <c r="L15" s="2">
        <v>4.5408999999999997</v>
      </c>
      <c r="M15" s="2">
        <v>4.1078000000000001</v>
      </c>
      <c r="N15" s="2">
        <v>5.194</v>
      </c>
      <c r="O15" s="2">
        <v>4.6275000000000004</v>
      </c>
      <c r="P15" s="2">
        <v>4.8407</v>
      </c>
      <c r="Q15" s="2">
        <v>4.4710999999999999</v>
      </c>
      <c r="R15" s="2">
        <v>4.4526000000000003</v>
      </c>
      <c r="S15" s="2">
        <v>4.4695</v>
      </c>
      <c r="T15" s="2">
        <v>4.2295999999999996</v>
      </c>
      <c r="U15" s="2">
        <v>3.89</v>
      </c>
      <c r="V15" s="2">
        <v>3.9619</v>
      </c>
      <c r="W15" s="2">
        <f t="shared" si="0"/>
        <v>4.377885</v>
      </c>
      <c r="X15" s="2">
        <f t="shared" si="4"/>
        <v>0.40791550631163026</v>
      </c>
      <c r="Y15" s="2">
        <f t="shared" si="1"/>
        <v>9.3176386842420538</v>
      </c>
      <c r="Z15" s="2">
        <f t="shared" si="2"/>
        <v>3.6656</v>
      </c>
      <c r="AA15" s="2">
        <f t="shared" si="3"/>
        <v>5.194</v>
      </c>
    </row>
    <row r="16" spans="1:27" x14ac:dyDescent="0.25">
      <c r="A16" t="s">
        <v>34</v>
      </c>
      <c r="B16" t="s">
        <v>32</v>
      </c>
      <c r="C16" s="2">
        <v>3.5102000000000002</v>
      </c>
      <c r="D16" s="2">
        <v>3.6549999999999998</v>
      </c>
      <c r="E16" s="2">
        <v>4.1082999999999998</v>
      </c>
      <c r="F16" s="2">
        <v>4.3266999999999998</v>
      </c>
      <c r="G16" s="2">
        <v>4.2618</v>
      </c>
      <c r="H16" s="2">
        <v>3.7532000000000001</v>
      </c>
      <c r="I16" s="2">
        <v>3.7012</v>
      </c>
      <c r="J16" s="2">
        <v>4.2607999999999997</v>
      </c>
      <c r="K16" s="2">
        <v>4.1924000000000001</v>
      </c>
      <c r="L16" s="2">
        <v>4.1841999999999997</v>
      </c>
      <c r="M16" s="2">
        <v>4.0152999999999999</v>
      </c>
      <c r="N16" s="2">
        <v>3.4763999999999999</v>
      </c>
      <c r="O16" s="2">
        <v>4.0873999999999997</v>
      </c>
      <c r="P16" s="2">
        <v>4.9848999999999997</v>
      </c>
      <c r="Q16" s="2">
        <v>4.1063999999999998</v>
      </c>
      <c r="R16" s="2">
        <v>4.4763999999999999</v>
      </c>
      <c r="S16" s="2">
        <v>3.7509999999999999</v>
      </c>
      <c r="T16" s="2">
        <v>4.4172000000000002</v>
      </c>
      <c r="U16" s="2">
        <v>3.4636999999999998</v>
      </c>
      <c r="V16" s="2">
        <v>3.9201999999999999</v>
      </c>
      <c r="W16" s="2">
        <f t="shared" si="0"/>
        <v>4.032635</v>
      </c>
      <c r="X16" s="2">
        <f t="shared" si="4"/>
        <v>0.38622077307238606</v>
      </c>
      <c r="Y16" s="2">
        <f t="shared" si="1"/>
        <v>9.5773798787241109</v>
      </c>
      <c r="Z16" s="2">
        <f t="shared" si="2"/>
        <v>3.4636999999999998</v>
      </c>
      <c r="AA16" s="2">
        <f t="shared" si="3"/>
        <v>4.9848999999999997</v>
      </c>
    </row>
    <row r="17" spans="1:27" x14ac:dyDescent="0.25">
      <c r="A17" t="s">
        <v>35</v>
      </c>
      <c r="B17" t="s">
        <v>28</v>
      </c>
      <c r="C17" s="2">
        <v>5.3023999999999996</v>
      </c>
      <c r="D17" s="2">
        <v>6.5883000000000003</v>
      </c>
      <c r="E17" s="2">
        <v>7.2760999999999996</v>
      </c>
      <c r="F17" s="2">
        <v>5.9631999999999996</v>
      </c>
      <c r="G17" s="2">
        <v>6.5513000000000003</v>
      </c>
      <c r="H17" s="2">
        <v>5.9242999999999997</v>
      </c>
      <c r="I17" s="2">
        <v>5.0384000000000002</v>
      </c>
      <c r="J17" s="2">
        <v>5.4486999999999997</v>
      </c>
      <c r="K17" s="2">
        <v>6.5323000000000002</v>
      </c>
      <c r="L17" s="2">
        <v>7.5662000000000003</v>
      </c>
      <c r="M17" s="2">
        <v>6.4804000000000004</v>
      </c>
      <c r="N17" s="2">
        <v>6.6173999999999999</v>
      </c>
      <c r="O17" s="2">
        <v>6.3014000000000001</v>
      </c>
      <c r="P17" s="2">
        <v>5.6913</v>
      </c>
      <c r="Q17" s="2">
        <v>5.9294000000000002</v>
      </c>
      <c r="R17" s="2">
        <v>5.6965000000000003</v>
      </c>
      <c r="S17" s="2">
        <v>5.5082000000000004</v>
      </c>
      <c r="T17" s="2">
        <v>6.4004000000000003</v>
      </c>
      <c r="U17" s="2">
        <v>5.0054999999999996</v>
      </c>
      <c r="V17" s="2">
        <v>6.7561999999999998</v>
      </c>
      <c r="W17" s="2">
        <f t="shared" si="0"/>
        <v>6.1288950000000018</v>
      </c>
      <c r="X17" s="2">
        <f t="shared" si="4"/>
        <v>0.69823465779212546</v>
      </c>
      <c r="Y17" s="2">
        <f t="shared" si="1"/>
        <v>11.39250481191349</v>
      </c>
      <c r="Z17" s="2">
        <f t="shared" si="2"/>
        <v>5.0054999999999996</v>
      </c>
      <c r="AA17" s="2">
        <f t="shared" si="3"/>
        <v>7.5662000000000003</v>
      </c>
    </row>
    <row r="18" spans="1:27" x14ac:dyDescent="0.25">
      <c r="A18" t="s">
        <v>35</v>
      </c>
      <c r="B18" t="s">
        <v>29</v>
      </c>
      <c r="C18" s="2">
        <v>5.3456999999999999</v>
      </c>
      <c r="D18" s="2">
        <v>6.9166999999999996</v>
      </c>
      <c r="E18" s="2">
        <v>5.6016000000000004</v>
      </c>
      <c r="F18" s="2">
        <v>6.3726000000000003</v>
      </c>
      <c r="G18" s="2">
        <v>6.2727000000000004</v>
      </c>
      <c r="H18" s="2">
        <v>5.8132000000000001</v>
      </c>
      <c r="I18" s="2">
        <v>5.7775999999999996</v>
      </c>
      <c r="J18" s="2">
        <v>4.5411999999999999</v>
      </c>
      <c r="K18" s="2">
        <v>5.0862999999999996</v>
      </c>
      <c r="L18" s="2">
        <v>6.6779000000000002</v>
      </c>
      <c r="M18" s="2">
        <v>5.43</v>
      </c>
      <c r="N18" s="2">
        <v>4.8795999999999999</v>
      </c>
      <c r="O18" s="2">
        <v>5.4865000000000004</v>
      </c>
      <c r="P18" s="2">
        <v>4.4069000000000003</v>
      </c>
      <c r="Q18" s="2">
        <v>4.1862000000000004</v>
      </c>
      <c r="R18" s="2">
        <v>5.5072999999999999</v>
      </c>
      <c r="S18" s="2">
        <v>5.9070999999999998</v>
      </c>
      <c r="T18" s="2">
        <v>6.2491000000000003</v>
      </c>
      <c r="U18" s="2">
        <v>4.7698</v>
      </c>
      <c r="V18" s="2">
        <v>5.7507000000000001</v>
      </c>
      <c r="W18" s="2">
        <f t="shared" si="0"/>
        <v>5.5489350000000011</v>
      </c>
      <c r="X18" s="2">
        <f t="shared" si="4"/>
        <v>0.74828633505953568</v>
      </c>
      <c r="Y18" s="2">
        <f t="shared" si="1"/>
        <v>13.485224372956891</v>
      </c>
      <c r="Z18" s="2">
        <f t="shared" si="2"/>
        <v>4.1862000000000004</v>
      </c>
      <c r="AA18" s="2">
        <f t="shared" si="3"/>
        <v>6.9166999999999996</v>
      </c>
    </row>
    <row r="19" spans="1:27" x14ac:dyDescent="0.25">
      <c r="A19" t="s">
        <v>35</v>
      </c>
      <c r="B19" t="s">
        <v>30</v>
      </c>
      <c r="C19" s="2">
        <v>4.8907999999999996</v>
      </c>
      <c r="D19" s="2">
        <v>3.9557000000000002</v>
      </c>
      <c r="E19" s="2">
        <v>4.9020999999999999</v>
      </c>
      <c r="F19" s="2">
        <v>4.9554</v>
      </c>
      <c r="G19" s="2">
        <v>4.4912999999999998</v>
      </c>
      <c r="H19" s="2">
        <v>5.8056000000000001</v>
      </c>
      <c r="I19" s="2">
        <v>5.9894999999999996</v>
      </c>
      <c r="J19" s="2">
        <v>4.8174999999999999</v>
      </c>
      <c r="K19" s="2">
        <v>3.9241000000000001</v>
      </c>
      <c r="L19" s="2">
        <v>5.6241000000000003</v>
      </c>
      <c r="M19" s="2">
        <v>3.8620999999999999</v>
      </c>
      <c r="N19" s="2">
        <v>4.5627000000000004</v>
      </c>
      <c r="O19" s="2">
        <v>5.0601000000000003</v>
      </c>
      <c r="P19" s="2">
        <v>5.2032999999999996</v>
      </c>
      <c r="Q19" s="2">
        <v>6.2359999999999998</v>
      </c>
      <c r="R19" s="2">
        <v>4.9771999999999998</v>
      </c>
      <c r="S19" s="2">
        <v>5.9187000000000003</v>
      </c>
      <c r="T19" s="2">
        <v>5.7026000000000003</v>
      </c>
      <c r="U19" s="2">
        <v>5.5027999999999997</v>
      </c>
      <c r="V19" s="2">
        <v>4.3571999999999997</v>
      </c>
      <c r="W19" s="2">
        <f t="shared" si="0"/>
        <v>5.0369400000000004</v>
      </c>
      <c r="X19" s="2">
        <f t="shared" si="4"/>
        <v>0.71144320215652457</v>
      </c>
      <c r="Y19" s="2">
        <f t="shared" si="1"/>
        <v>14.124512147385607</v>
      </c>
      <c r="Z19" s="2">
        <f t="shared" si="2"/>
        <v>3.8620999999999999</v>
      </c>
      <c r="AA19" s="2">
        <f t="shared" si="3"/>
        <v>6.2359999999999998</v>
      </c>
    </row>
    <row r="20" spans="1:27" x14ac:dyDescent="0.25">
      <c r="A20" t="s">
        <v>35</v>
      </c>
      <c r="B20" t="s">
        <v>31</v>
      </c>
      <c r="C20" s="2">
        <v>4.3074000000000003</v>
      </c>
      <c r="D20" s="2">
        <v>4.4180999999999999</v>
      </c>
      <c r="E20" s="2">
        <v>4.4676</v>
      </c>
      <c r="F20" s="2">
        <v>4.3689</v>
      </c>
      <c r="G20" s="2">
        <v>5.0952000000000002</v>
      </c>
      <c r="H20" s="2">
        <v>4.532</v>
      </c>
      <c r="I20" s="2">
        <v>4.3935000000000004</v>
      </c>
      <c r="J20" s="2">
        <v>4.1695000000000002</v>
      </c>
      <c r="K20" s="2">
        <v>4.8338999999999999</v>
      </c>
      <c r="L20" s="2">
        <v>4.4482999999999997</v>
      </c>
      <c r="M20" s="2">
        <v>4.6852</v>
      </c>
      <c r="N20" s="2">
        <v>4.016</v>
      </c>
      <c r="O20" s="2">
        <v>3.7526000000000002</v>
      </c>
      <c r="P20" s="2">
        <v>3.9152</v>
      </c>
      <c r="Q20" s="2">
        <v>4.5164</v>
      </c>
      <c r="R20" s="2">
        <v>4.2337999999999996</v>
      </c>
      <c r="S20" s="2">
        <v>4.5921000000000003</v>
      </c>
      <c r="T20" s="2">
        <v>5.0138999999999996</v>
      </c>
      <c r="U20" s="2">
        <v>5.1112000000000002</v>
      </c>
      <c r="V20" s="2">
        <v>3.9632999999999998</v>
      </c>
      <c r="W20" s="2">
        <f t="shared" si="0"/>
        <v>4.4417050000000007</v>
      </c>
      <c r="X20" s="2">
        <f t="shared" si="4"/>
        <v>0.38103508814115378</v>
      </c>
      <c r="Y20" s="2">
        <f t="shared" si="1"/>
        <v>8.5785771036382137</v>
      </c>
      <c r="Z20" s="2">
        <f t="shared" si="2"/>
        <v>3.7526000000000002</v>
      </c>
      <c r="AA20" s="2">
        <f t="shared" si="3"/>
        <v>5.1112000000000002</v>
      </c>
    </row>
    <row r="21" spans="1:27" x14ac:dyDescent="0.25">
      <c r="A21" t="s">
        <v>35</v>
      </c>
      <c r="B21" t="s">
        <v>32</v>
      </c>
      <c r="C21" s="2">
        <v>3.7250000000000001</v>
      </c>
      <c r="D21" s="2">
        <v>4.4562999999999997</v>
      </c>
      <c r="E21" s="2">
        <v>3.8083</v>
      </c>
      <c r="F21" s="2">
        <v>3.9763999999999999</v>
      </c>
      <c r="G21" s="2">
        <v>3.5323000000000002</v>
      </c>
      <c r="H21" s="2">
        <v>4.6509</v>
      </c>
      <c r="I21" s="2">
        <v>4.5303000000000004</v>
      </c>
      <c r="J21" s="2">
        <v>4.6886000000000001</v>
      </c>
      <c r="K21" s="2">
        <v>4.2458999999999998</v>
      </c>
      <c r="L21" s="2">
        <v>4.2873999999999999</v>
      </c>
      <c r="M21" s="2">
        <v>4.1635</v>
      </c>
      <c r="N21" s="2">
        <v>4.0544000000000002</v>
      </c>
      <c r="O21" s="2">
        <v>4.0336999999999996</v>
      </c>
      <c r="P21" s="2">
        <v>3.859</v>
      </c>
      <c r="Q21" s="2">
        <v>4.4587000000000003</v>
      </c>
      <c r="R21" s="2">
        <v>4.1896000000000004</v>
      </c>
      <c r="S21" s="2">
        <v>4.3848000000000003</v>
      </c>
      <c r="T21" s="2">
        <v>4.2653999999999996</v>
      </c>
      <c r="U21" s="2">
        <v>4.4870000000000001</v>
      </c>
      <c r="V21" s="2">
        <v>4.3585000000000003</v>
      </c>
      <c r="W21" s="2">
        <f t="shared" si="0"/>
        <v>4.2077999999999998</v>
      </c>
      <c r="X21" s="2">
        <f t="shared" si="4"/>
        <v>0.31452998016254768</v>
      </c>
      <c r="Y21" s="2">
        <f t="shared" si="1"/>
        <v>7.4749270441215767</v>
      </c>
      <c r="Z21" s="2">
        <f t="shared" si="2"/>
        <v>3.5323000000000002</v>
      </c>
      <c r="AA21" s="2">
        <f t="shared" si="3"/>
        <v>4.6886000000000001</v>
      </c>
    </row>
    <row r="22" spans="1:27" x14ac:dyDescent="0.25">
      <c r="A22" t="s">
        <v>36</v>
      </c>
      <c r="B22" t="s">
        <v>28</v>
      </c>
      <c r="C22" s="2">
        <v>6.6092000000000004</v>
      </c>
      <c r="D22" s="2">
        <v>5.4580000000000002</v>
      </c>
      <c r="E22" s="2">
        <v>5.0244</v>
      </c>
      <c r="F22" s="2">
        <v>6.3182</v>
      </c>
      <c r="G22" s="2">
        <v>6.8118999999999996</v>
      </c>
      <c r="H22" s="2">
        <v>5.7428999999999997</v>
      </c>
      <c r="I22" s="2">
        <v>5.6356999999999999</v>
      </c>
      <c r="J22" s="2">
        <v>5.4641999999999999</v>
      </c>
      <c r="K22" s="2">
        <v>4.8788999999999998</v>
      </c>
      <c r="L22" s="2">
        <v>6.2423000000000002</v>
      </c>
      <c r="M22" s="2">
        <v>6.2892000000000001</v>
      </c>
      <c r="N22" s="2">
        <v>5.1794000000000002</v>
      </c>
      <c r="O22" s="2">
        <v>6.6454000000000004</v>
      </c>
      <c r="P22" s="2">
        <v>4.8238000000000003</v>
      </c>
      <c r="Q22" s="2">
        <v>6.6454000000000004</v>
      </c>
      <c r="R22" s="2">
        <v>4.8311000000000002</v>
      </c>
      <c r="S22" s="2">
        <v>6.8758999999999997</v>
      </c>
      <c r="T22" s="2">
        <v>5.6684999999999999</v>
      </c>
      <c r="U22" s="2">
        <v>5.6291000000000002</v>
      </c>
      <c r="V22" s="2">
        <v>7.5900999999999996</v>
      </c>
      <c r="W22" s="2">
        <f t="shared" si="0"/>
        <v>5.9181799999999996</v>
      </c>
      <c r="X22" s="2">
        <f t="shared" si="4"/>
        <v>0.79232012708846744</v>
      </c>
      <c r="Y22" s="2">
        <f t="shared" si="1"/>
        <v>13.38790180576575</v>
      </c>
      <c r="Z22" s="2">
        <f t="shared" si="2"/>
        <v>4.8238000000000003</v>
      </c>
      <c r="AA22" s="2">
        <f t="shared" si="3"/>
        <v>7.5900999999999996</v>
      </c>
    </row>
    <row r="23" spans="1:27" x14ac:dyDescent="0.25">
      <c r="A23" t="s">
        <v>36</v>
      </c>
      <c r="B23" t="s">
        <v>29</v>
      </c>
      <c r="C23" s="2">
        <v>5.5086000000000004</v>
      </c>
      <c r="D23" s="2">
        <v>4.4588999999999999</v>
      </c>
      <c r="E23" s="2">
        <v>3.99</v>
      </c>
      <c r="F23" s="2">
        <v>5.7992999999999997</v>
      </c>
      <c r="G23" s="2">
        <v>5.5152999999999999</v>
      </c>
      <c r="H23" s="2">
        <v>5.3304</v>
      </c>
      <c r="I23" s="2">
        <v>5.0044000000000004</v>
      </c>
      <c r="J23" s="2">
        <v>5.3654000000000002</v>
      </c>
      <c r="K23" s="2">
        <v>5.5761000000000003</v>
      </c>
      <c r="L23" s="2">
        <v>5.1993</v>
      </c>
      <c r="M23" s="2">
        <v>6.2709000000000001</v>
      </c>
      <c r="N23" s="2">
        <v>5.6101999999999999</v>
      </c>
      <c r="O23" s="2">
        <v>4.9790999999999999</v>
      </c>
      <c r="P23" s="2">
        <v>5.1210000000000004</v>
      </c>
      <c r="Q23" s="2">
        <v>5.3372000000000002</v>
      </c>
      <c r="R23" s="2">
        <v>5.5709</v>
      </c>
      <c r="S23" s="2">
        <v>6.5723000000000003</v>
      </c>
      <c r="T23" s="2">
        <v>4.8597000000000001</v>
      </c>
      <c r="U23" s="2">
        <v>6.0831</v>
      </c>
      <c r="V23" s="2">
        <v>4.5453999999999999</v>
      </c>
      <c r="W23" s="2">
        <f t="shared" si="0"/>
        <v>5.3348749999999994</v>
      </c>
      <c r="X23" s="2">
        <f t="shared" si="4"/>
        <v>0.61392963241127252</v>
      </c>
      <c r="Y23" s="2">
        <f t="shared" si="1"/>
        <v>11.507854118630194</v>
      </c>
      <c r="Z23" s="2">
        <f t="shared" si="2"/>
        <v>3.99</v>
      </c>
      <c r="AA23" s="2">
        <f t="shared" si="3"/>
        <v>6.5723000000000003</v>
      </c>
    </row>
    <row r="24" spans="1:27" x14ac:dyDescent="0.25">
      <c r="A24" t="s">
        <v>36</v>
      </c>
      <c r="B24" t="s">
        <v>30</v>
      </c>
      <c r="C24" s="2">
        <v>4.9431000000000003</v>
      </c>
      <c r="D24" s="2">
        <v>3.9914000000000001</v>
      </c>
      <c r="E24" s="2">
        <v>3.6675</v>
      </c>
      <c r="F24" s="2">
        <v>4.3693999999999997</v>
      </c>
      <c r="G24" s="2">
        <v>4.3719999999999999</v>
      </c>
      <c r="H24" s="2">
        <v>4.3891</v>
      </c>
      <c r="I24" s="2">
        <v>5.2915999999999999</v>
      </c>
      <c r="J24" s="2">
        <v>5.5850999999999997</v>
      </c>
      <c r="K24" s="2">
        <v>5.0021000000000004</v>
      </c>
      <c r="L24" s="2">
        <v>4.4111000000000002</v>
      </c>
      <c r="M24" s="2">
        <v>5.2115999999999998</v>
      </c>
      <c r="N24" s="2">
        <v>5.1786000000000003</v>
      </c>
      <c r="O24" s="2">
        <v>5.0694999999999997</v>
      </c>
      <c r="P24" s="2">
        <v>5.9192999999999998</v>
      </c>
      <c r="Q24" s="2">
        <v>4.6962999999999999</v>
      </c>
      <c r="R24" s="2">
        <v>4.5136000000000003</v>
      </c>
      <c r="S24" s="2">
        <v>4.1954000000000002</v>
      </c>
      <c r="T24" s="2">
        <v>3.4510000000000001</v>
      </c>
      <c r="U24" s="2">
        <v>4.4432999999999998</v>
      </c>
      <c r="V24" s="2">
        <v>5.2770999999999999</v>
      </c>
      <c r="W24" s="2">
        <f t="shared" si="0"/>
        <v>4.698904999999999</v>
      </c>
      <c r="X24" s="2">
        <f t="shared" si="4"/>
        <v>0.63292298398612346</v>
      </c>
      <c r="Y24" s="2">
        <f t="shared" si="1"/>
        <v>13.469584594413456</v>
      </c>
      <c r="Z24" s="2">
        <f t="shared" si="2"/>
        <v>3.4510000000000001</v>
      </c>
      <c r="AA24" s="2">
        <f t="shared" si="3"/>
        <v>5.9192999999999998</v>
      </c>
    </row>
    <row r="25" spans="1:27" x14ac:dyDescent="0.25">
      <c r="A25" t="s">
        <v>36</v>
      </c>
      <c r="B25" t="s">
        <v>31</v>
      </c>
      <c r="C25" s="2">
        <v>4.1357999999999997</v>
      </c>
      <c r="D25" s="2">
        <v>4.5753000000000004</v>
      </c>
      <c r="E25" s="2">
        <v>3.7250000000000001</v>
      </c>
      <c r="F25" s="2">
        <v>4.0190000000000001</v>
      </c>
      <c r="G25" s="2">
        <v>3.7786</v>
      </c>
      <c r="H25" s="2">
        <v>4.9683999999999999</v>
      </c>
      <c r="I25" s="2">
        <v>5.0193000000000003</v>
      </c>
      <c r="J25" s="2">
        <v>3.6724000000000001</v>
      </c>
      <c r="K25" s="2">
        <v>4.0046999999999997</v>
      </c>
      <c r="L25" s="2">
        <v>4.5339</v>
      </c>
      <c r="M25" s="2">
        <v>3.4489000000000001</v>
      </c>
      <c r="N25" s="2">
        <v>3.9352999999999998</v>
      </c>
      <c r="O25" s="2">
        <v>3.8298999999999999</v>
      </c>
      <c r="P25" s="2">
        <v>3.7191999999999998</v>
      </c>
      <c r="Q25" s="2">
        <v>4.5675999999999997</v>
      </c>
      <c r="R25" s="2">
        <v>4.5414000000000003</v>
      </c>
      <c r="S25" s="2">
        <v>3.9813999999999998</v>
      </c>
      <c r="T25" s="2">
        <v>4.3639000000000001</v>
      </c>
      <c r="U25" s="2">
        <v>4.0410000000000004</v>
      </c>
      <c r="V25" s="2">
        <v>3.6254</v>
      </c>
      <c r="W25" s="2">
        <f t="shared" si="0"/>
        <v>4.12432</v>
      </c>
      <c r="X25" s="2">
        <f t="shared" si="4"/>
        <v>0.44957345585623942</v>
      </c>
      <c r="Y25" s="2">
        <f t="shared" si="1"/>
        <v>10.900547383719969</v>
      </c>
      <c r="Z25" s="2">
        <f t="shared" si="2"/>
        <v>3.4489000000000001</v>
      </c>
      <c r="AA25" s="2">
        <f t="shared" si="3"/>
        <v>5.0193000000000003</v>
      </c>
    </row>
    <row r="26" spans="1:27" x14ac:dyDescent="0.25">
      <c r="A26" t="s">
        <v>36</v>
      </c>
      <c r="B26" t="s">
        <v>32</v>
      </c>
      <c r="C26" s="2">
        <v>3.2858000000000001</v>
      </c>
      <c r="D26" s="2">
        <v>3.7122999999999999</v>
      </c>
      <c r="E26" s="2">
        <v>3.6871</v>
      </c>
      <c r="F26" s="2">
        <v>3.9609999999999999</v>
      </c>
      <c r="G26" s="2">
        <v>3.4258999999999999</v>
      </c>
      <c r="H26" s="2">
        <v>4.0473999999999997</v>
      </c>
      <c r="I26" s="2">
        <v>3.4500999999999999</v>
      </c>
      <c r="J26" s="2">
        <v>3.2696000000000001</v>
      </c>
      <c r="K26" s="2">
        <v>4.08</v>
      </c>
      <c r="L26" s="2">
        <v>3.7136999999999998</v>
      </c>
      <c r="M26" s="2">
        <v>4.1730999999999998</v>
      </c>
      <c r="N26" s="2">
        <v>4.1193</v>
      </c>
      <c r="O26" s="2">
        <v>4.1280000000000001</v>
      </c>
      <c r="P26" s="2">
        <v>3.9756</v>
      </c>
      <c r="Q26" s="2">
        <v>3.8483999999999998</v>
      </c>
      <c r="R26" s="2">
        <v>3.8978999999999999</v>
      </c>
      <c r="S26" s="2">
        <v>4.2930000000000001</v>
      </c>
      <c r="T26" s="2">
        <v>3.6766999999999999</v>
      </c>
      <c r="U26" s="2">
        <v>4.1584000000000003</v>
      </c>
      <c r="V26" s="2">
        <v>4.2358000000000002</v>
      </c>
      <c r="W26" s="2">
        <f t="shared" si="0"/>
        <v>3.8569550000000001</v>
      </c>
      <c r="X26" s="2">
        <f t="shared" si="4"/>
        <v>0.31662437063332222</v>
      </c>
      <c r="Y26" s="2">
        <f t="shared" si="1"/>
        <v>8.2091797968429034</v>
      </c>
      <c r="Z26" s="2">
        <f t="shared" si="2"/>
        <v>3.2696000000000001</v>
      </c>
      <c r="AA26" s="2">
        <f t="shared" si="3"/>
        <v>4.2930000000000001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H1" sqref="H1:H1048576"/>
    </sheetView>
  </sheetViews>
  <sheetFormatPr defaultRowHeight="15" x14ac:dyDescent="0.25"/>
  <cols>
    <col min="1" max="1" width="34" customWidth="1"/>
    <col min="2" max="6" width="18" customWidth="1"/>
  </cols>
  <sheetData>
    <row r="1" spans="1:6" x14ac:dyDescent="0.25">
      <c r="A1" s="1" t="s">
        <v>37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5">
      <c r="A2" t="s">
        <v>27</v>
      </c>
      <c r="B2" t="str">
        <f>TEXT(Results_Table8!W2,"0.00")&amp;" ± "&amp;TEXT(Results_Table8!X2,"0.00")</f>
        <v>6.52 ± 0.74</v>
      </c>
      <c r="C2" t="str">
        <f>TEXT(Results_Table8!W3,"0.00")&amp;" ± "&amp;TEXT(Results_Table8!X3,"0.00")</f>
        <v>5.87 ± 0.81</v>
      </c>
      <c r="D2" t="str">
        <f>TEXT(Results_Table8!W4,"0.00")&amp;" ± "&amp;TEXT(Results_Table8!X4,"0.00")</f>
        <v>5.18 ± 0.56</v>
      </c>
      <c r="E2" t="str">
        <f>TEXT(Results_Table8!W5,"0.00")&amp;" ± "&amp;TEXT(Results_Table8!X5,"0.00")</f>
        <v>4.53 ± 0.39</v>
      </c>
      <c r="F2" t="str">
        <f>TEXT(Results_Table8!W6,"0.00")&amp;" ± "&amp;TEXT(Results_Table8!X6,"0.00")</f>
        <v>4.17 ± 0.32</v>
      </c>
    </row>
    <row r="3" spans="1:6" x14ac:dyDescent="0.25">
      <c r="A3" t="s">
        <v>33</v>
      </c>
      <c r="B3" t="str">
        <f>TEXT(Results_Table8!W7,"0.00")&amp;" ± "&amp;TEXT(Results_Table8!X7,"0.00")</f>
        <v>5.92 ± 0.57</v>
      </c>
      <c r="C3" t="str">
        <f>TEXT(Results_Table8!W8,"0.00")&amp;" ± "&amp;TEXT(Results_Table8!X8,"0.00")</f>
        <v>5.32 ± 0.46</v>
      </c>
      <c r="D3" t="str">
        <f>TEXT(Results_Table8!W9,"0.00")&amp;" ± "&amp;TEXT(Results_Table8!X9,"0.00")</f>
        <v>4.71 ± 0.44</v>
      </c>
      <c r="E3" t="str">
        <f>TEXT(Results_Table8!W10,"0.00")&amp;" ± "&amp;TEXT(Results_Table8!X10,"0.00")</f>
        <v>4.14 ± 0.46</v>
      </c>
      <c r="F3" t="str">
        <f>TEXT(Results_Table8!W11,"0.00")&amp;" ± "&amp;TEXT(Results_Table8!X11,"0.00")</f>
        <v>3.84 ± 0.39</v>
      </c>
    </row>
    <row r="4" spans="1:6" x14ac:dyDescent="0.25">
      <c r="A4" t="s">
        <v>34</v>
      </c>
      <c r="B4" t="str">
        <f>TEXT(Results_Table8!W12,"0.00")&amp;" ± "&amp;TEXT(Results_Table8!X12,"0.00")</f>
        <v>6.20 ± 0.67</v>
      </c>
      <c r="C4" t="str">
        <f>TEXT(Results_Table8!W13,"0.00")&amp;" ± "&amp;TEXT(Results_Table8!X13,"0.00")</f>
        <v>5.60 ± 0.36</v>
      </c>
      <c r="D4" t="str">
        <f>TEXT(Results_Table8!W14,"0.00")&amp;" ± "&amp;TEXT(Results_Table8!X14,"0.00")</f>
        <v>4.99 ± 0.42</v>
      </c>
      <c r="E4" t="str">
        <f>TEXT(Results_Table8!W15,"0.00")&amp;" ± "&amp;TEXT(Results_Table8!X15,"0.00")</f>
        <v>4.38 ± 0.41</v>
      </c>
      <c r="F4" t="str">
        <f>TEXT(Results_Table8!W16,"0.00")&amp;" ± "&amp;TEXT(Results_Table8!X16,"0.00")</f>
        <v>4.03 ± 0.39</v>
      </c>
    </row>
    <row r="5" spans="1:6" x14ac:dyDescent="0.25">
      <c r="A5" t="s">
        <v>35</v>
      </c>
      <c r="B5" t="str">
        <f>TEXT(Results_Table8!W17,"0.00")&amp;" ± "&amp;TEXT(Results_Table8!X17,"0.00")</f>
        <v>6.13 ± 0.70</v>
      </c>
      <c r="C5" t="str">
        <f>TEXT(Results_Table8!W18,"0.00")&amp;" ± "&amp;TEXT(Results_Table8!X18,"0.00")</f>
        <v>5.55 ± 0.75</v>
      </c>
      <c r="D5" t="str">
        <f>TEXT(Results_Table8!W19,"0.00")&amp;" ± "&amp;TEXT(Results_Table8!X19,"0.00")</f>
        <v>5.04 ± 0.71</v>
      </c>
      <c r="E5" t="str">
        <f>TEXT(Results_Table8!W20,"0.00")&amp;" ± "&amp;TEXT(Results_Table8!X20,"0.00")</f>
        <v>4.44 ± 0.38</v>
      </c>
      <c r="F5" t="str">
        <f>TEXT(Results_Table8!W21,"0.00")&amp;" ± "&amp;TEXT(Results_Table8!X21,"0.00")</f>
        <v>4.21 ± 0.31</v>
      </c>
    </row>
    <row r="6" spans="1:6" x14ac:dyDescent="0.25">
      <c r="A6" t="s">
        <v>36</v>
      </c>
      <c r="B6" t="str">
        <f>TEXT(Results_Table8!W22,"0.00")&amp;" ± "&amp;TEXT(Results_Table8!X22,"0.00")</f>
        <v>5.92 ± 0.79</v>
      </c>
      <c r="C6" t="str">
        <f>TEXT(Results_Table8!W23,"0.00")&amp;" ± "&amp;TEXT(Results_Table8!X23,"0.00")</f>
        <v>5.33 ± 0.61</v>
      </c>
      <c r="D6" t="str">
        <f>TEXT(Results_Table8!W24,"0.00")&amp;" ± "&amp;TEXT(Results_Table8!X24,"0.00")</f>
        <v>4.70 ± 0.63</v>
      </c>
      <c r="E6" t="str">
        <f>TEXT(Results_Table8!W25,"0.00")&amp;" ± "&amp;TEXT(Results_Table8!X25,"0.00")</f>
        <v>4.12 ± 0.45</v>
      </c>
      <c r="F6" t="str">
        <f>TEXT(Results_Table8!W26,"0.00")&amp;" ± "&amp;TEXT(Results_Table8!X26,"0.00")</f>
        <v>3.86 ± 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Results_Table8</vt:lpstr>
      <vt:lpstr>Table8_Summary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2026-09-26T17:41:01Z</dcterms:created>
  <dcterms:modified xsi:type="dcterms:W3CDTF">2026-09-26T17:44:17Z</dcterms:modified>
</cp:coreProperties>
</file>