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4F0B1C98-FFDC-4103-8074-06ECC5EE25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_Table7" sheetId="1" r:id="rId1"/>
    <sheet name="Table7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AA21" i="1"/>
  <c r="Z21" i="1"/>
  <c r="W21" i="1"/>
  <c r="AA20" i="1"/>
  <c r="Z20" i="1"/>
  <c r="Y20" i="1"/>
  <c r="W20" i="1"/>
  <c r="D6" i="2" s="1"/>
  <c r="AA19" i="1"/>
  <c r="Z19" i="1"/>
  <c r="W19" i="1"/>
  <c r="AA18" i="1"/>
  <c r="Z18" i="1"/>
  <c r="W18" i="1"/>
  <c r="B6" i="2" s="1"/>
  <c r="AA17" i="1"/>
  <c r="Z17" i="1"/>
  <c r="W17" i="1"/>
  <c r="E5" i="2" s="1"/>
  <c r="AA16" i="1"/>
  <c r="Z16" i="1"/>
  <c r="W16" i="1"/>
  <c r="AA15" i="1"/>
  <c r="Z15" i="1"/>
  <c r="Y15" i="1"/>
  <c r="W15" i="1"/>
  <c r="AA14" i="1"/>
  <c r="Z14" i="1"/>
  <c r="Y14" i="1"/>
  <c r="W14" i="1"/>
  <c r="AA13" i="1"/>
  <c r="Z13" i="1"/>
  <c r="Y13" i="1"/>
  <c r="W13" i="1"/>
  <c r="E4" i="2" s="1"/>
  <c r="AA12" i="1"/>
  <c r="Z12" i="1"/>
  <c r="Y12" i="1"/>
  <c r="W12" i="1"/>
  <c r="AA11" i="1"/>
  <c r="Z11" i="1"/>
  <c r="W11" i="1"/>
  <c r="C4" i="2" s="1"/>
  <c r="AA10" i="1"/>
  <c r="Z10" i="1"/>
  <c r="Y10" i="1"/>
  <c r="W10" i="1"/>
  <c r="B4" i="2" s="1"/>
  <c r="AA9" i="1"/>
  <c r="Z9" i="1"/>
  <c r="W9" i="1"/>
  <c r="E3" i="2" s="1"/>
  <c r="AA8" i="1"/>
  <c r="Z8" i="1"/>
  <c r="W8" i="1"/>
  <c r="D3" i="2" s="1"/>
  <c r="AA7" i="1"/>
  <c r="Z7" i="1"/>
  <c r="Y7" i="1"/>
  <c r="W7" i="1"/>
  <c r="AA6" i="1"/>
  <c r="Z6" i="1"/>
  <c r="Y6" i="1"/>
  <c r="W6" i="1"/>
  <c r="AA5" i="1"/>
  <c r="Z5" i="1"/>
  <c r="W5" i="1"/>
  <c r="AA4" i="1"/>
  <c r="Z4" i="1"/>
  <c r="W4" i="1"/>
  <c r="D2" i="2" s="1"/>
  <c r="AA3" i="1"/>
  <c r="Z3" i="1"/>
  <c r="Y3" i="1"/>
  <c r="W3" i="1"/>
  <c r="AA2" i="1"/>
  <c r="Z2" i="1"/>
  <c r="W2" i="1"/>
  <c r="C5" i="2" l="1"/>
  <c r="Y16" i="1"/>
  <c r="Y11" i="1"/>
  <c r="Y18" i="1"/>
  <c r="Y17" i="1"/>
  <c r="Y9" i="1"/>
  <c r="Y8" i="1"/>
  <c r="Y4" i="1"/>
  <c r="Y5" i="1"/>
  <c r="Y2" i="1"/>
  <c r="B5" i="2"/>
  <c r="C2" i="2"/>
  <c r="D4" i="2"/>
  <c r="C3" i="2"/>
  <c r="B3" i="2"/>
  <c r="D5" i="2"/>
  <c r="B2" i="2"/>
  <c r="E2" i="2"/>
  <c r="E6" i="2"/>
  <c r="Y21" i="1"/>
  <c r="Y19" i="1"/>
  <c r="C6" i="2"/>
</calcChain>
</file>

<file path=xl/sharedStrings.xml><?xml version="1.0" encoding="utf-8"?>
<sst xmlns="http://schemas.openxmlformats.org/spreadsheetml/2006/main" count="78" uniqueCount="37">
  <si>
    <t>Adaptation Stage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</si>
  <si>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</si>
  <si>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</si>
  <si>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</si>
  <si>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</si>
  <si>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</si>
  <si>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</si>
  <si>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</si>
  <si>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</si>
  <si>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</si>
  <si>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</si>
  <si>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</si>
  <si>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</si>
  <si>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</si>
  <si>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</si>
  <si>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</si>
  <si>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</si>
  <si>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</si>
  <si>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</si>
  <si>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</si>
  <si>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</si>
  <si>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</si>
  <si>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</si>
  <si>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</si>
  <si>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</si>
  <si>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</si>
  <si>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</si>
  <si>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N_min^PM</t>
  </si>
  <si>
    <t>MAE</t>
  </si>
  <si>
    <t>RMSE</t>
  </si>
  <si>
    <t>sMAPE (%)</t>
  </si>
  <si>
    <t>R2</t>
  </si>
  <si>
    <t>+24 h</t>
  </si>
  <si>
    <t>+72 h</t>
  </si>
  <si>
    <t>+7 d</t>
  </si>
  <si>
    <t>Continual</t>
  </si>
  <si>
    <t>MAE 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</si>
</sst>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pane xSplit="2" ySplit="1" topLeftCell="L2" activePane="bottomRight" state="frozen"/>
      <selection pane="topRight"/>
      <selection pane="bottomLeft"/>
      <selection pane="bottomRight" activeCell="M25" sqref="M25"/>
    </sheetView>
  </sheetViews>
  <sheetFormatPr defaultRowHeight="15" x14ac:dyDescent="0.25"/>
  <cols>
    <col min="1" max="1" width="20" customWidth="1"/>
    <col min="2" max="2" width="15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6.52</v>
      </c>
      <c r="D2" s="2">
        <v>6.3381999999999996</v>
      </c>
      <c r="E2" s="2">
        <v>5.7629999999999999</v>
      </c>
      <c r="F2" s="2">
        <v>5.3842999999999996</v>
      </c>
      <c r="G2" s="2">
        <v>6.4105999999999996</v>
      </c>
      <c r="H2" s="2">
        <v>5.4844999999999997</v>
      </c>
      <c r="I2" s="2">
        <v>5.4311999999999996</v>
      </c>
      <c r="J2" s="2">
        <v>4.3765000000000001</v>
      </c>
      <c r="K2" s="2">
        <v>6.0403000000000002</v>
      </c>
      <c r="L2" s="2">
        <v>5.4326999999999996</v>
      </c>
      <c r="M2" s="2">
        <v>5.6135999999999999</v>
      </c>
      <c r="N2" s="2">
        <v>6.0026000000000002</v>
      </c>
      <c r="O2" s="2">
        <v>6.5468999999999999</v>
      </c>
      <c r="P2" s="2">
        <v>5.6997999999999998</v>
      </c>
      <c r="Q2" s="2">
        <v>6.3762999999999996</v>
      </c>
      <c r="R2" s="2">
        <v>5.8201999999999998</v>
      </c>
      <c r="S2" s="2">
        <v>7.4569000000000001</v>
      </c>
      <c r="T2" s="2">
        <v>5.8345000000000002</v>
      </c>
      <c r="U2" s="2">
        <v>6.5477999999999996</v>
      </c>
      <c r="V2" s="2">
        <v>5.282</v>
      </c>
      <c r="W2" s="2">
        <f t="shared" ref="W2:W21" si="0">AVERAGE(C2:V2)</f>
        <v>5.9180949999999992</v>
      </c>
      <c r="X2" s="2">
        <f>_xlfn.STDEV.S(C2:V2)</f>
        <v>0.65216060459385772</v>
      </c>
      <c r="Y2" s="2">
        <f t="shared" ref="Y2:Y21" si="1">IFERROR(X2/ABS(W2)*100,"")</f>
        <v>11.019772487495686</v>
      </c>
      <c r="Z2" s="2">
        <f t="shared" ref="Z2:Z21" si="2">MIN(C2:V2)</f>
        <v>4.3765000000000001</v>
      </c>
      <c r="AA2" s="2">
        <f t="shared" ref="AA2:AA21" si="3">MAX(C2:V2)</f>
        <v>7.4569000000000001</v>
      </c>
    </row>
    <row r="3" spans="1:27" x14ac:dyDescent="0.25">
      <c r="A3" t="s">
        <v>27</v>
      </c>
      <c r="B3" t="s">
        <v>29</v>
      </c>
      <c r="C3" s="2">
        <v>8.3325999999999993</v>
      </c>
      <c r="D3" s="2">
        <v>6.5338000000000003</v>
      </c>
      <c r="E3" s="2">
        <v>7.5511999999999997</v>
      </c>
      <c r="F3" s="2">
        <v>9.0557999999999996</v>
      </c>
      <c r="G3" s="2">
        <v>8.7594999999999992</v>
      </c>
      <c r="H3" s="2">
        <v>7.1886000000000001</v>
      </c>
      <c r="I3" s="2">
        <v>9.0790000000000006</v>
      </c>
      <c r="J3" s="2">
        <v>6.9687000000000001</v>
      </c>
      <c r="K3" s="2">
        <v>7.7869999999999999</v>
      </c>
      <c r="L3" s="2">
        <v>8.7531999999999996</v>
      </c>
      <c r="M3" s="2">
        <v>6.6306000000000003</v>
      </c>
      <c r="N3" s="2">
        <v>9.2629000000000001</v>
      </c>
      <c r="O3" s="2">
        <v>7.1158000000000001</v>
      </c>
      <c r="P3" s="2">
        <v>6.52</v>
      </c>
      <c r="Q3" s="2">
        <v>8.6486000000000001</v>
      </c>
      <c r="R3" s="2">
        <v>7.6308999999999996</v>
      </c>
      <c r="S3" s="2">
        <v>7.0183999999999997</v>
      </c>
      <c r="T3" s="2">
        <v>8.0517000000000003</v>
      </c>
      <c r="U3" s="2">
        <v>8.0932999999999993</v>
      </c>
      <c r="V3" s="2">
        <v>7.2439999999999998</v>
      </c>
      <c r="W3" s="2">
        <f t="shared" si="0"/>
        <v>7.8112799999999991</v>
      </c>
      <c r="X3" s="2">
        <f t="shared" ref="X3:X21" si="4">_xlfn.STDEV.S(C3:V3)</f>
        <v>0.9027926605816029</v>
      </c>
      <c r="Y3" s="2">
        <f t="shared" si="1"/>
        <v>11.557550882590343</v>
      </c>
      <c r="Z3" s="2">
        <f t="shared" si="2"/>
        <v>6.52</v>
      </c>
      <c r="AA3" s="2">
        <f t="shared" si="3"/>
        <v>9.2629000000000001</v>
      </c>
    </row>
    <row r="4" spans="1:27" x14ac:dyDescent="0.25">
      <c r="A4" t="s">
        <v>27</v>
      </c>
      <c r="B4" t="s">
        <v>30</v>
      </c>
      <c r="C4" s="2">
        <v>16.771799999999999</v>
      </c>
      <c r="D4" s="2">
        <v>14.2415</v>
      </c>
      <c r="E4" s="2">
        <v>17.16</v>
      </c>
      <c r="F4" s="2">
        <v>19.148599999999998</v>
      </c>
      <c r="G4" s="2">
        <v>15.837</v>
      </c>
      <c r="H4" s="2">
        <v>16.1279</v>
      </c>
      <c r="I4" s="2">
        <v>16.738700000000001</v>
      </c>
      <c r="J4" s="2">
        <v>17.040800000000001</v>
      </c>
      <c r="K4" s="2">
        <v>14.870200000000001</v>
      </c>
      <c r="L4" s="2">
        <v>18.280899999999999</v>
      </c>
      <c r="M4" s="2">
        <v>17.742000000000001</v>
      </c>
      <c r="N4" s="2">
        <v>18.2758</v>
      </c>
      <c r="O4" s="2">
        <v>17.6737</v>
      </c>
      <c r="P4" s="2">
        <v>18.100999999999999</v>
      </c>
      <c r="Q4" s="2">
        <v>18.227399999999999</v>
      </c>
      <c r="R4" s="2">
        <v>14.5937</v>
      </c>
      <c r="S4" s="2">
        <v>15.7316</v>
      </c>
      <c r="T4" s="2">
        <v>16.5593</v>
      </c>
      <c r="U4" s="2">
        <v>18.074999999999999</v>
      </c>
      <c r="V4" s="2">
        <v>16.272400000000001</v>
      </c>
      <c r="W4" s="2">
        <f t="shared" si="0"/>
        <v>16.873465000000003</v>
      </c>
      <c r="X4" s="2">
        <f t="shared" si="4"/>
        <v>1.3567037163558162</v>
      </c>
      <c r="Y4" s="2">
        <f t="shared" si="1"/>
        <v>8.0404571103553177</v>
      </c>
      <c r="Z4" s="2">
        <f t="shared" si="2"/>
        <v>14.2415</v>
      </c>
      <c r="AA4" s="2">
        <f t="shared" si="3"/>
        <v>19.148599999999998</v>
      </c>
    </row>
    <row r="5" spans="1:27" x14ac:dyDescent="0.25">
      <c r="A5" t="s">
        <v>27</v>
      </c>
      <c r="B5" t="s">
        <v>31</v>
      </c>
      <c r="C5" s="2">
        <v>0.75549999999999995</v>
      </c>
      <c r="D5" s="2">
        <v>0.7399</v>
      </c>
      <c r="E5" s="2">
        <v>0.77669999999999995</v>
      </c>
      <c r="F5" s="2">
        <v>0.75419999999999998</v>
      </c>
      <c r="G5" s="2">
        <v>0.73919999999999997</v>
      </c>
      <c r="H5" s="2">
        <v>0.78669999999999995</v>
      </c>
      <c r="I5" s="2">
        <v>0.70199999999999996</v>
      </c>
      <c r="J5" s="2">
        <v>0.74570000000000003</v>
      </c>
      <c r="K5" s="2">
        <v>0.70579999999999998</v>
      </c>
      <c r="L5" s="2">
        <v>0.70720000000000005</v>
      </c>
      <c r="M5" s="2">
        <v>0.72399999999999998</v>
      </c>
      <c r="N5" s="2">
        <v>0.74839999999999995</v>
      </c>
      <c r="O5" s="2">
        <v>0.76239999999999997</v>
      </c>
      <c r="P5" s="2">
        <v>0.72309999999999997</v>
      </c>
      <c r="Q5" s="2">
        <v>0.71060000000000001</v>
      </c>
      <c r="R5" s="2">
        <v>0.72540000000000004</v>
      </c>
      <c r="S5" s="2">
        <v>0.8034</v>
      </c>
      <c r="T5" s="2">
        <v>0.77049999999999996</v>
      </c>
      <c r="U5" s="2">
        <v>0.7379</v>
      </c>
      <c r="V5" s="2">
        <v>0.70930000000000004</v>
      </c>
      <c r="W5" s="2">
        <f t="shared" si="0"/>
        <v>0.74139500000000003</v>
      </c>
      <c r="X5" s="2">
        <f t="shared" si="4"/>
        <v>2.8783702899932422E-2</v>
      </c>
      <c r="Y5" s="2">
        <f t="shared" si="1"/>
        <v>3.8823707874928242</v>
      </c>
      <c r="Z5" s="2">
        <f t="shared" si="2"/>
        <v>0.70199999999999996</v>
      </c>
      <c r="AA5" s="2">
        <f t="shared" si="3"/>
        <v>0.8034</v>
      </c>
    </row>
    <row r="6" spans="1:27" x14ac:dyDescent="0.25">
      <c r="A6" t="s">
        <v>32</v>
      </c>
      <c r="B6" t="s">
        <v>28</v>
      </c>
      <c r="C6" s="2">
        <v>4.7934999999999999</v>
      </c>
      <c r="D6" s="2">
        <v>5.35</v>
      </c>
      <c r="E6" s="2">
        <v>4.9939999999999998</v>
      </c>
      <c r="F6" s="2">
        <v>5.2152000000000003</v>
      </c>
      <c r="G6" s="2">
        <v>5.6067</v>
      </c>
      <c r="H6" s="2">
        <v>5.9550999999999998</v>
      </c>
      <c r="I6" s="2">
        <v>6.4131</v>
      </c>
      <c r="J6" s="2">
        <v>5.3722000000000003</v>
      </c>
      <c r="K6" s="2">
        <v>4.2211999999999996</v>
      </c>
      <c r="L6" s="2">
        <v>5.0750000000000002</v>
      </c>
      <c r="M6" s="2">
        <v>4.9198000000000004</v>
      </c>
      <c r="N6" s="2">
        <v>6.7755999999999998</v>
      </c>
      <c r="O6" s="2">
        <v>4.7779999999999996</v>
      </c>
      <c r="P6" s="2">
        <v>5.6776999999999997</v>
      </c>
      <c r="Q6" s="2">
        <v>5.3449999999999998</v>
      </c>
      <c r="R6" s="2">
        <v>5.7168999999999999</v>
      </c>
      <c r="S6" s="2">
        <v>4.2255000000000003</v>
      </c>
      <c r="T6" s="2">
        <v>5.5785</v>
      </c>
      <c r="U6" s="2">
        <v>4.9595000000000002</v>
      </c>
      <c r="V6" s="2">
        <v>5.2821999999999996</v>
      </c>
      <c r="W6" s="2">
        <f t="shared" si="0"/>
        <v>5.3127350000000009</v>
      </c>
      <c r="X6" s="2">
        <f t="shared" si="4"/>
        <v>0.63244614355690032</v>
      </c>
      <c r="Y6" s="2">
        <f t="shared" si="1"/>
        <v>11.904341992531158</v>
      </c>
      <c r="Z6" s="2">
        <f t="shared" si="2"/>
        <v>4.2211999999999996</v>
      </c>
      <c r="AA6" s="2">
        <f t="shared" si="3"/>
        <v>6.7755999999999998</v>
      </c>
    </row>
    <row r="7" spans="1:27" x14ac:dyDescent="0.25">
      <c r="A7" t="s">
        <v>32</v>
      </c>
      <c r="B7" t="s">
        <v>29</v>
      </c>
      <c r="C7" s="2">
        <v>8.1781000000000006</v>
      </c>
      <c r="D7" s="2">
        <v>7.8712999999999997</v>
      </c>
      <c r="E7" s="2">
        <v>8.1433</v>
      </c>
      <c r="F7" s="2">
        <v>5.8678999999999997</v>
      </c>
      <c r="G7" s="2">
        <v>7.5658000000000003</v>
      </c>
      <c r="H7" s="2">
        <v>7.4427000000000003</v>
      </c>
      <c r="I7" s="2">
        <v>6.617</v>
      </c>
      <c r="J7" s="2">
        <v>7.2739000000000003</v>
      </c>
      <c r="K7" s="2">
        <v>6.766</v>
      </c>
      <c r="L7" s="2">
        <v>6.2656000000000001</v>
      </c>
      <c r="M7" s="2">
        <v>6.9358000000000004</v>
      </c>
      <c r="N7" s="2">
        <v>6.7129000000000003</v>
      </c>
      <c r="O7" s="2">
        <v>7.4824000000000002</v>
      </c>
      <c r="P7" s="2">
        <v>7.1927000000000003</v>
      </c>
      <c r="Q7" s="2">
        <v>7.1703999999999999</v>
      </c>
      <c r="R7" s="2">
        <v>7.3448000000000002</v>
      </c>
      <c r="S7" s="2">
        <v>6.5801999999999996</v>
      </c>
      <c r="T7" s="2">
        <v>6.7270000000000003</v>
      </c>
      <c r="U7" s="2">
        <v>5.7355</v>
      </c>
      <c r="V7" s="2">
        <v>6.8426</v>
      </c>
      <c r="W7" s="2">
        <f t="shared" si="0"/>
        <v>7.035795000000002</v>
      </c>
      <c r="X7" s="2">
        <f t="shared" si="4"/>
        <v>0.6657396286323799</v>
      </c>
      <c r="Y7" s="2">
        <f t="shared" si="1"/>
        <v>9.4621805870179507</v>
      </c>
      <c r="Z7" s="2">
        <f t="shared" si="2"/>
        <v>5.7355</v>
      </c>
      <c r="AA7" s="2">
        <f t="shared" si="3"/>
        <v>8.1781000000000006</v>
      </c>
    </row>
    <row r="8" spans="1:27" x14ac:dyDescent="0.25">
      <c r="A8" t="s">
        <v>32</v>
      </c>
      <c r="B8" t="s">
        <v>30</v>
      </c>
      <c r="C8" s="2">
        <v>15.908899999999999</v>
      </c>
      <c r="D8" s="2">
        <v>13.712199999999999</v>
      </c>
      <c r="E8" s="2">
        <v>15.6464</v>
      </c>
      <c r="F8" s="2">
        <v>14.354900000000001</v>
      </c>
      <c r="G8" s="2">
        <v>14.6539</v>
      </c>
      <c r="H8" s="2">
        <v>15.569100000000001</v>
      </c>
      <c r="I8" s="2">
        <v>15.739100000000001</v>
      </c>
      <c r="J8" s="2">
        <v>17.221800000000002</v>
      </c>
      <c r="K8" s="2">
        <v>14.2264</v>
      </c>
      <c r="L8" s="2">
        <v>16.0901</v>
      </c>
      <c r="M8" s="2">
        <v>13.081899999999999</v>
      </c>
      <c r="N8" s="2">
        <v>13.336600000000001</v>
      </c>
      <c r="O8" s="2">
        <v>16.2517</v>
      </c>
      <c r="P8" s="2">
        <v>14.866300000000001</v>
      </c>
      <c r="Q8" s="2">
        <v>15.1503</v>
      </c>
      <c r="R8" s="2">
        <v>15.519</v>
      </c>
      <c r="S8" s="2">
        <v>15.3813</v>
      </c>
      <c r="T8" s="2">
        <v>16.935199999999998</v>
      </c>
      <c r="U8" s="2">
        <v>16.5352</v>
      </c>
      <c r="V8" s="2">
        <v>16.023399999999999</v>
      </c>
      <c r="W8" s="2">
        <f t="shared" si="0"/>
        <v>15.310184999999999</v>
      </c>
      <c r="X8" s="2">
        <f t="shared" si="4"/>
        <v>1.1407403308355224</v>
      </c>
      <c r="Y8" s="2">
        <f t="shared" si="1"/>
        <v>7.4508592210709574</v>
      </c>
      <c r="Z8" s="2">
        <f t="shared" si="2"/>
        <v>13.081899999999999</v>
      </c>
      <c r="AA8" s="2">
        <f t="shared" si="3"/>
        <v>17.221800000000002</v>
      </c>
    </row>
    <row r="9" spans="1:27" x14ac:dyDescent="0.25">
      <c r="A9" t="s">
        <v>32</v>
      </c>
      <c r="B9" t="s">
        <v>31</v>
      </c>
      <c r="C9" s="2">
        <v>0.79510000000000003</v>
      </c>
      <c r="D9" s="2">
        <v>0.7873</v>
      </c>
      <c r="E9" s="2">
        <v>0.74990000000000001</v>
      </c>
      <c r="F9" s="2">
        <v>0.80149999999999999</v>
      </c>
      <c r="G9" s="2">
        <v>0.7792</v>
      </c>
      <c r="H9" s="2">
        <v>0.75109999999999999</v>
      </c>
      <c r="I9" s="2">
        <v>0.81820000000000004</v>
      </c>
      <c r="J9" s="2">
        <v>0.78990000000000005</v>
      </c>
      <c r="K9" s="2">
        <v>0.80510000000000004</v>
      </c>
      <c r="L9" s="2">
        <v>0.78239999999999998</v>
      </c>
      <c r="M9" s="2">
        <v>0.77749999999999997</v>
      </c>
      <c r="N9" s="2">
        <v>0.77900000000000003</v>
      </c>
      <c r="O9" s="2">
        <v>0.79949999999999999</v>
      </c>
      <c r="P9" s="2">
        <v>0.76370000000000005</v>
      </c>
      <c r="Q9" s="2">
        <v>0.76280000000000003</v>
      </c>
      <c r="R9" s="2">
        <v>0.78169999999999995</v>
      </c>
      <c r="S9" s="2">
        <v>0.79479999999999995</v>
      </c>
      <c r="T9" s="2">
        <v>0.76119999999999999</v>
      </c>
      <c r="U9" s="2">
        <v>0.77480000000000004</v>
      </c>
      <c r="V9" s="2">
        <v>0.78449999999999998</v>
      </c>
      <c r="W9" s="2">
        <f t="shared" si="0"/>
        <v>0.7819600000000001</v>
      </c>
      <c r="X9" s="2">
        <f t="shared" si="4"/>
        <v>1.8025257133723285E-2</v>
      </c>
      <c r="Y9" s="2">
        <f t="shared" si="1"/>
        <v>2.3051380036988185</v>
      </c>
      <c r="Z9" s="2">
        <f t="shared" si="2"/>
        <v>0.74990000000000001</v>
      </c>
      <c r="AA9" s="2">
        <f t="shared" si="3"/>
        <v>0.81820000000000004</v>
      </c>
    </row>
    <row r="10" spans="1:27" x14ac:dyDescent="0.25">
      <c r="A10" t="s">
        <v>33</v>
      </c>
      <c r="B10" t="s">
        <v>28</v>
      </c>
      <c r="C10" s="2">
        <v>4.8735999999999997</v>
      </c>
      <c r="D10" s="2">
        <v>5.7366999999999999</v>
      </c>
      <c r="E10" s="2">
        <v>4.2885</v>
      </c>
      <c r="F10" s="2">
        <v>4.4432999999999998</v>
      </c>
      <c r="G10" s="2">
        <v>4.3857999999999997</v>
      </c>
      <c r="H10" s="2">
        <v>4.4196999999999997</v>
      </c>
      <c r="I10" s="2">
        <v>4.5339999999999998</v>
      </c>
      <c r="J10" s="2">
        <v>4.9943999999999997</v>
      </c>
      <c r="K10" s="2">
        <v>4.9676</v>
      </c>
      <c r="L10" s="2">
        <v>5.1402000000000001</v>
      </c>
      <c r="M10" s="2">
        <v>4.4908000000000001</v>
      </c>
      <c r="N10" s="2">
        <v>5.1635999999999997</v>
      </c>
      <c r="O10" s="2">
        <v>4.7751000000000001</v>
      </c>
      <c r="P10" s="2">
        <v>4.7121000000000004</v>
      </c>
      <c r="Q10" s="2">
        <v>5.5294999999999996</v>
      </c>
      <c r="R10" s="2">
        <v>4.5488</v>
      </c>
      <c r="S10" s="2">
        <v>4.5223000000000004</v>
      </c>
      <c r="T10" s="2">
        <v>4.2012999999999998</v>
      </c>
      <c r="U10" s="2">
        <v>4.5011999999999999</v>
      </c>
      <c r="V10" s="2">
        <v>4.1081000000000003</v>
      </c>
      <c r="W10" s="2">
        <f t="shared" si="0"/>
        <v>4.7168299999999999</v>
      </c>
      <c r="X10" s="2">
        <f t="shared" si="4"/>
        <v>0.43145425091378914</v>
      </c>
      <c r="Y10" s="2">
        <f t="shared" si="1"/>
        <v>9.1471231931994392</v>
      </c>
      <c r="Z10" s="2">
        <f t="shared" si="2"/>
        <v>4.1081000000000003</v>
      </c>
      <c r="AA10" s="2">
        <f t="shared" si="3"/>
        <v>5.7366999999999999</v>
      </c>
    </row>
    <row r="11" spans="1:27" x14ac:dyDescent="0.25">
      <c r="A11" t="s">
        <v>33</v>
      </c>
      <c r="B11" t="s">
        <v>29</v>
      </c>
      <c r="C11" s="2">
        <v>6.6357999999999997</v>
      </c>
      <c r="D11" s="2">
        <v>6.0674000000000001</v>
      </c>
      <c r="E11" s="2">
        <v>5.9722999999999997</v>
      </c>
      <c r="F11" s="2">
        <v>6.8606999999999996</v>
      </c>
      <c r="G11" s="2">
        <v>6.3579999999999997</v>
      </c>
      <c r="H11" s="2">
        <v>6.0301999999999998</v>
      </c>
      <c r="I11" s="2">
        <v>5.7752999999999997</v>
      </c>
      <c r="J11" s="2">
        <v>7.1805000000000003</v>
      </c>
      <c r="K11" s="2">
        <v>6.4195000000000002</v>
      </c>
      <c r="L11" s="2">
        <v>6.8887</v>
      </c>
      <c r="M11" s="2">
        <v>5.1932</v>
      </c>
      <c r="N11" s="2">
        <v>6.4513999999999996</v>
      </c>
      <c r="O11" s="2">
        <v>6.0385999999999997</v>
      </c>
      <c r="P11" s="2">
        <v>5.3281999999999998</v>
      </c>
      <c r="Q11" s="2">
        <v>5.44</v>
      </c>
      <c r="R11" s="2">
        <v>6.5982000000000003</v>
      </c>
      <c r="S11" s="2">
        <v>5.5113000000000003</v>
      </c>
      <c r="T11" s="2">
        <v>7.5334000000000003</v>
      </c>
      <c r="U11" s="2">
        <v>7.4936999999999996</v>
      </c>
      <c r="V11" s="2">
        <v>5.5987</v>
      </c>
      <c r="W11" s="2">
        <f t="shared" si="0"/>
        <v>6.2687550000000005</v>
      </c>
      <c r="X11" s="2">
        <f t="shared" si="4"/>
        <v>0.69607723291615364</v>
      </c>
      <c r="Y11" s="2">
        <f t="shared" si="1"/>
        <v>11.103915098231685</v>
      </c>
      <c r="Z11" s="2">
        <f t="shared" si="2"/>
        <v>5.1932</v>
      </c>
      <c r="AA11" s="2">
        <f t="shared" si="3"/>
        <v>7.5334000000000003</v>
      </c>
    </row>
    <row r="12" spans="1:27" x14ac:dyDescent="0.25">
      <c r="A12" t="s">
        <v>33</v>
      </c>
      <c r="B12" t="s">
        <v>30</v>
      </c>
      <c r="C12" s="2">
        <v>12.895799999999999</v>
      </c>
      <c r="D12" s="2">
        <v>13.6867</v>
      </c>
      <c r="E12" s="2">
        <v>13.0129</v>
      </c>
      <c r="F12" s="2">
        <v>12.5549</v>
      </c>
      <c r="G12" s="2">
        <v>12.994199999999999</v>
      </c>
      <c r="H12" s="2">
        <v>12.6815</v>
      </c>
      <c r="I12" s="2">
        <v>15.7827</v>
      </c>
      <c r="J12" s="2">
        <v>14.644399999999999</v>
      </c>
      <c r="K12" s="2">
        <v>14.328799999999999</v>
      </c>
      <c r="L12" s="2">
        <v>11.682499999999999</v>
      </c>
      <c r="M12" s="2">
        <v>13.203099999999999</v>
      </c>
      <c r="N12" s="2">
        <v>14.3401</v>
      </c>
      <c r="O12" s="2">
        <v>14.4993</v>
      </c>
      <c r="P12" s="2">
        <v>13.7788</v>
      </c>
      <c r="Q12" s="2">
        <v>14.252000000000001</v>
      </c>
      <c r="R12" s="2">
        <v>13.323499999999999</v>
      </c>
      <c r="S12" s="2">
        <v>14.406000000000001</v>
      </c>
      <c r="T12" s="2">
        <v>13.5595</v>
      </c>
      <c r="U12" s="2">
        <v>12.8042</v>
      </c>
      <c r="V12" s="2">
        <v>15.009</v>
      </c>
      <c r="W12" s="2">
        <f t="shared" si="0"/>
        <v>13.671995000000001</v>
      </c>
      <c r="X12" s="2">
        <f t="shared" si="4"/>
        <v>0.98482192538068869</v>
      </c>
      <c r="Y12" s="2">
        <f t="shared" si="1"/>
        <v>7.2032057163617216</v>
      </c>
      <c r="Z12" s="2">
        <f t="shared" si="2"/>
        <v>11.682499999999999</v>
      </c>
      <c r="AA12" s="2">
        <f t="shared" si="3"/>
        <v>15.7827</v>
      </c>
    </row>
    <row r="13" spans="1:27" x14ac:dyDescent="0.25">
      <c r="A13" t="s">
        <v>33</v>
      </c>
      <c r="B13" t="s">
        <v>31</v>
      </c>
      <c r="C13" s="2">
        <v>0.80320000000000003</v>
      </c>
      <c r="D13" s="2">
        <v>0.85019999999999996</v>
      </c>
      <c r="E13" s="2">
        <v>0.81869999999999998</v>
      </c>
      <c r="F13" s="2">
        <v>0.81989999999999996</v>
      </c>
      <c r="G13" s="2">
        <v>0.82140000000000002</v>
      </c>
      <c r="H13" s="2">
        <v>0.80530000000000002</v>
      </c>
      <c r="I13" s="2">
        <v>0.82210000000000005</v>
      </c>
      <c r="J13" s="2">
        <v>0.81269999999999998</v>
      </c>
      <c r="K13" s="2">
        <v>0.81520000000000004</v>
      </c>
      <c r="L13" s="2">
        <v>0.83040000000000003</v>
      </c>
      <c r="M13" s="2">
        <v>0.81879999999999997</v>
      </c>
      <c r="N13" s="2">
        <v>0.80259999999999998</v>
      </c>
      <c r="O13" s="2">
        <v>0.79459999999999997</v>
      </c>
      <c r="P13" s="2">
        <v>0.8377</v>
      </c>
      <c r="Q13" s="2">
        <v>0.8155</v>
      </c>
      <c r="R13" s="2">
        <v>0.82840000000000003</v>
      </c>
      <c r="S13" s="2">
        <v>0.82369999999999999</v>
      </c>
      <c r="T13" s="2">
        <v>0.80989999999999995</v>
      </c>
      <c r="U13" s="2">
        <v>0.81759999999999999</v>
      </c>
      <c r="V13" s="2">
        <v>0.7913</v>
      </c>
      <c r="W13" s="2">
        <f t="shared" si="0"/>
        <v>0.81696000000000013</v>
      </c>
      <c r="X13" s="2">
        <f t="shared" si="4"/>
        <v>1.3986286516667525E-2</v>
      </c>
      <c r="Y13" s="2">
        <f t="shared" si="1"/>
        <v>1.7119915928157468</v>
      </c>
      <c r="Z13" s="2">
        <f t="shared" si="2"/>
        <v>0.7913</v>
      </c>
      <c r="AA13" s="2">
        <f t="shared" si="3"/>
        <v>0.85019999999999996</v>
      </c>
    </row>
    <row r="14" spans="1:27" x14ac:dyDescent="0.25">
      <c r="A14" t="s">
        <v>34</v>
      </c>
      <c r="B14" t="s">
        <v>28</v>
      </c>
      <c r="C14" s="2">
        <v>3.6760000000000002</v>
      </c>
      <c r="D14" s="2">
        <v>4.3375000000000004</v>
      </c>
      <c r="E14" s="2">
        <v>3.7530000000000001</v>
      </c>
      <c r="F14" s="2">
        <v>4.1759000000000004</v>
      </c>
      <c r="G14" s="2">
        <v>4.4770000000000003</v>
      </c>
      <c r="H14" s="2">
        <v>3.8062</v>
      </c>
      <c r="I14" s="2">
        <v>4.0803000000000003</v>
      </c>
      <c r="J14" s="2">
        <v>4.9907000000000004</v>
      </c>
      <c r="K14" s="2">
        <v>4.3952</v>
      </c>
      <c r="L14" s="2">
        <v>4.3978000000000002</v>
      </c>
      <c r="M14" s="2">
        <v>3.8614000000000002</v>
      </c>
      <c r="N14" s="2">
        <v>4.0121000000000002</v>
      </c>
      <c r="O14" s="2">
        <v>3.8925000000000001</v>
      </c>
      <c r="P14" s="2">
        <v>4.4157000000000002</v>
      </c>
      <c r="Q14" s="2">
        <v>4.1219999999999999</v>
      </c>
      <c r="R14" s="2">
        <v>3.8565999999999998</v>
      </c>
      <c r="S14" s="2">
        <v>3.2972999999999999</v>
      </c>
      <c r="T14" s="2">
        <v>4.6146000000000003</v>
      </c>
      <c r="U14" s="2">
        <v>4.4537000000000004</v>
      </c>
      <c r="V14" s="2">
        <v>4.1031000000000004</v>
      </c>
      <c r="W14" s="2">
        <f t="shared" si="0"/>
        <v>4.1359300000000001</v>
      </c>
      <c r="X14" s="2">
        <f t="shared" si="4"/>
        <v>0.38633930287684748</v>
      </c>
      <c r="Y14" s="2">
        <f t="shared" si="1"/>
        <v>9.3410503291121341</v>
      </c>
      <c r="Z14" s="2">
        <f t="shared" si="2"/>
        <v>3.2972999999999999</v>
      </c>
      <c r="AA14" s="2">
        <f t="shared" si="3"/>
        <v>4.9907000000000004</v>
      </c>
    </row>
    <row r="15" spans="1:27" x14ac:dyDescent="0.25">
      <c r="A15" t="s">
        <v>34</v>
      </c>
      <c r="B15" t="s">
        <v>29</v>
      </c>
      <c r="C15" s="2">
        <v>6.3883999999999999</v>
      </c>
      <c r="D15" s="2">
        <v>5.2678000000000003</v>
      </c>
      <c r="E15" s="2">
        <v>6.1920999999999999</v>
      </c>
      <c r="F15" s="2">
        <v>5.7675999999999998</v>
      </c>
      <c r="G15" s="2">
        <v>5.2290999999999999</v>
      </c>
      <c r="H15" s="2">
        <v>5.7548000000000004</v>
      </c>
      <c r="I15" s="2">
        <v>5.4139999999999997</v>
      </c>
      <c r="J15" s="2">
        <v>5.3871000000000002</v>
      </c>
      <c r="K15" s="2">
        <v>5.2538</v>
      </c>
      <c r="L15" s="2">
        <v>4.1852999999999998</v>
      </c>
      <c r="M15" s="2">
        <v>5.4618000000000002</v>
      </c>
      <c r="N15" s="2">
        <v>5.8723000000000001</v>
      </c>
      <c r="O15" s="2">
        <v>6.0953999999999997</v>
      </c>
      <c r="P15" s="2">
        <v>5.2861000000000002</v>
      </c>
      <c r="Q15" s="2">
        <v>5.4482999999999997</v>
      </c>
      <c r="R15" s="2">
        <v>5.2230999999999996</v>
      </c>
      <c r="S15" s="2">
        <v>5.3723000000000001</v>
      </c>
      <c r="T15" s="2">
        <v>5.7662000000000004</v>
      </c>
      <c r="U15" s="2">
        <v>5.6273</v>
      </c>
      <c r="V15" s="2">
        <v>5.2123999999999997</v>
      </c>
      <c r="W15" s="2">
        <f t="shared" si="0"/>
        <v>5.5102600000000006</v>
      </c>
      <c r="X15" s="2">
        <f t="shared" si="4"/>
        <v>0.46707021832065604</v>
      </c>
      <c r="Y15" s="2">
        <f t="shared" si="1"/>
        <v>8.4763734981771464</v>
      </c>
      <c r="Z15" s="2">
        <f t="shared" si="2"/>
        <v>4.1852999999999998</v>
      </c>
      <c r="AA15" s="2">
        <f t="shared" si="3"/>
        <v>6.3883999999999999</v>
      </c>
    </row>
    <row r="16" spans="1:27" x14ac:dyDescent="0.25">
      <c r="A16" t="s">
        <v>34</v>
      </c>
      <c r="B16" t="s">
        <v>30</v>
      </c>
      <c r="C16" s="2">
        <v>12.4366</v>
      </c>
      <c r="D16" s="2">
        <v>10.680099999999999</v>
      </c>
      <c r="E16" s="2">
        <v>11.541</v>
      </c>
      <c r="F16" s="2">
        <v>12.636200000000001</v>
      </c>
      <c r="G16" s="2">
        <v>13.466200000000001</v>
      </c>
      <c r="H16" s="2">
        <v>11.595800000000001</v>
      </c>
      <c r="I16" s="2">
        <v>12.546200000000001</v>
      </c>
      <c r="J16" s="2">
        <v>11.7142</v>
      </c>
      <c r="K16" s="2">
        <v>11.9292</v>
      </c>
      <c r="L16" s="2">
        <v>11.946400000000001</v>
      </c>
      <c r="M16" s="2">
        <v>11.6126</v>
      </c>
      <c r="N16" s="2">
        <v>11.507099999999999</v>
      </c>
      <c r="O16" s="2">
        <v>12.181800000000001</v>
      </c>
      <c r="P16" s="2">
        <v>12.3324</v>
      </c>
      <c r="Q16" s="2">
        <v>12.538399999999999</v>
      </c>
      <c r="R16" s="2">
        <v>12.7081</v>
      </c>
      <c r="S16" s="2">
        <v>11.9651</v>
      </c>
      <c r="T16" s="2">
        <v>11.384399999999999</v>
      </c>
      <c r="U16" s="2">
        <v>12.2927</v>
      </c>
      <c r="V16" s="2">
        <v>12.1241</v>
      </c>
      <c r="W16" s="2">
        <f t="shared" si="0"/>
        <v>12.056930000000001</v>
      </c>
      <c r="X16" s="2">
        <f t="shared" si="4"/>
        <v>0.60669484577894439</v>
      </c>
      <c r="Y16" s="2">
        <f t="shared" si="1"/>
        <v>5.0319181232614296</v>
      </c>
      <c r="Z16" s="2">
        <f t="shared" si="2"/>
        <v>10.680099999999999</v>
      </c>
      <c r="AA16" s="2">
        <f t="shared" si="3"/>
        <v>13.466200000000001</v>
      </c>
    </row>
    <row r="17" spans="1:27" x14ac:dyDescent="0.25">
      <c r="A17" t="s">
        <v>34</v>
      </c>
      <c r="B17" t="s">
        <v>31</v>
      </c>
      <c r="C17" s="2">
        <v>0.83220000000000005</v>
      </c>
      <c r="D17" s="2">
        <v>0.85780000000000001</v>
      </c>
      <c r="E17" s="2">
        <v>0.83450000000000002</v>
      </c>
      <c r="F17" s="2">
        <v>0.85219999999999996</v>
      </c>
      <c r="G17" s="2">
        <v>0.83620000000000005</v>
      </c>
      <c r="H17" s="2">
        <v>0.83979999999999999</v>
      </c>
      <c r="I17" s="2">
        <v>0.83099999999999996</v>
      </c>
      <c r="J17" s="2">
        <v>0.86229999999999996</v>
      </c>
      <c r="K17" s="2">
        <v>0.85450000000000004</v>
      </c>
      <c r="L17" s="2">
        <v>0.87019999999999997</v>
      </c>
      <c r="M17" s="2">
        <v>0.84389999999999998</v>
      </c>
      <c r="N17" s="2">
        <v>0.86040000000000005</v>
      </c>
      <c r="O17" s="2">
        <v>0.84019999999999995</v>
      </c>
      <c r="P17" s="2">
        <v>0.82709999999999995</v>
      </c>
      <c r="Q17" s="2">
        <v>0.86650000000000005</v>
      </c>
      <c r="R17" s="2">
        <v>0.84860000000000002</v>
      </c>
      <c r="S17" s="2">
        <v>0.85840000000000005</v>
      </c>
      <c r="T17" s="2">
        <v>0.87770000000000004</v>
      </c>
      <c r="U17" s="2">
        <v>0.8528</v>
      </c>
      <c r="V17" s="2">
        <v>0.86909999999999998</v>
      </c>
      <c r="W17" s="2">
        <f t="shared" si="0"/>
        <v>0.8507699999999998</v>
      </c>
      <c r="X17" s="2">
        <f t="shared" si="4"/>
        <v>1.4683506679981211E-2</v>
      </c>
      <c r="Y17" s="2">
        <f t="shared" si="1"/>
        <v>1.7259079046018564</v>
      </c>
      <c r="Z17" s="2">
        <f t="shared" si="2"/>
        <v>0.82709999999999995</v>
      </c>
      <c r="AA17" s="2">
        <f t="shared" si="3"/>
        <v>0.87770000000000004</v>
      </c>
    </row>
    <row r="18" spans="1:27" x14ac:dyDescent="0.25">
      <c r="A18" t="s">
        <v>35</v>
      </c>
      <c r="B18" t="s">
        <v>28</v>
      </c>
      <c r="C18" s="2">
        <v>4.5918999999999999</v>
      </c>
      <c r="D18" s="2">
        <v>3.8050000000000002</v>
      </c>
      <c r="E18" s="2">
        <v>3.8763000000000001</v>
      </c>
      <c r="F18" s="2">
        <v>3.5657000000000001</v>
      </c>
      <c r="G18" s="2">
        <v>4.2629999999999999</v>
      </c>
      <c r="H18" s="2">
        <v>3.7764000000000002</v>
      </c>
      <c r="I18" s="2">
        <v>2.7814000000000001</v>
      </c>
      <c r="J18" s="2">
        <v>4.0494000000000003</v>
      </c>
      <c r="K18" s="2">
        <v>3.8570000000000002</v>
      </c>
      <c r="L18" s="2">
        <v>3.8315000000000001</v>
      </c>
      <c r="M18" s="2">
        <v>3.8281000000000001</v>
      </c>
      <c r="N18" s="2">
        <v>3.3919000000000001</v>
      </c>
      <c r="O18" s="2">
        <v>3.8109000000000002</v>
      </c>
      <c r="P18" s="2">
        <v>3.4773999999999998</v>
      </c>
      <c r="Q18" s="2">
        <v>3.714</v>
      </c>
      <c r="R18" s="2">
        <v>3.9790000000000001</v>
      </c>
      <c r="S18" s="2">
        <v>4.1654999999999998</v>
      </c>
      <c r="T18" s="2">
        <v>3.9163999999999999</v>
      </c>
      <c r="U18" s="2">
        <v>4.1608999999999998</v>
      </c>
      <c r="V18" s="2">
        <v>4.1445999999999996</v>
      </c>
      <c r="W18" s="2">
        <f t="shared" si="0"/>
        <v>3.8493149999999994</v>
      </c>
      <c r="X18" s="2">
        <f t="shared" si="4"/>
        <v>0.37453282517234576</v>
      </c>
      <c r="Y18" s="2">
        <f t="shared" si="1"/>
        <v>9.7298564854356115</v>
      </c>
      <c r="Z18" s="2">
        <f t="shared" si="2"/>
        <v>2.7814000000000001</v>
      </c>
      <c r="AA18" s="2">
        <f t="shared" si="3"/>
        <v>4.5918999999999999</v>
      </c>
    </row>
    <row r="19" spans="1:27" x14ac:dyDescent="0.25">
      <c r="A19" t="s">
        <v>35</v>
      </c>
      <c r="B19" t="s">
        <v>29</v>
      </c>
      <c r="C19" s="2">
        <v>4.6894</v>
      </c>
      <c r="D19" s="2">
        <v>5.1871999999999998</v>
      </c>
      <c r="E19" s="2">
        <v>5.2256999999999998</v>
      </c>
      <c r="F19" s="2">
        <v>5.3807</v>
      </c>
      <c r="G19" s="2">
        <v>5.0602</v>
      </c>
      <c r="H19" s="2">
        <v>4.7446000000000002</v>
      </c>
      <c r="I19" s="2">
        <v>5.0227000000000004</v>
      </c>
      <c r="J19" s="2">
        <v>4.9896000000000003</v>
      </c>
      <c r="K19" s="2">
        <v>4.8265000000000002</v>
      </c>
      <c r="L19" s="2">
        <v>5.0686999999999998</v>
      </c>
      <c r="M19" s="2">
        <v>5.1146000000000003</v>
      </c>
      <c r="N19" s="2">
        <v>5.1494</v>
      </c>
      <c r="O19" s="2">
        <v>5.6444999999999999</v>
      </c>
      <c r="P19" s="2">
        <v>4.7521000000000004</v>
      </c>
      <c r="Q19" s="2">
        <v>5.3644999999999996</v>
      </c>
      <c r="R19" s="2">
        <v>4.9816000000000003</v>
      </c>
      <c r="S19" s="2">
        <v>5.2629000000000001</v>
      </c>
      <c r="T19" s="2">
        <v>5.6092000000000004</v>
      </c>
      <c r="U19" s="2">
        <v>6.0772000000000004</v>
      </c>
      <c r="V19" s="2">
        <v>4.4997999999999996</v>
      </c>
      <c r="W19" s="2">
        <f t="shared" si="0"/>
        <v>5.1325550000000009</v>
      </c>
      <c r="X19" s="2">
        <f t="shared" si="4"/>
        <v>0.36825042462547425</v>
      </c>
      <c r="Y19" s="2">
        <f t="shared" si="1"/>
        <v>7.1747974376402039</v>
      </c>
      <c r="Z19" s="2">
        <f t="shared" si="2"/>
        <v>4.4997999999999996</v>
      </c>
      <c r="AA19" s="2">
        <f t="shared" si="3"/>
        <v>6.0772000000000004</v>
      </c>
    </row>
    <row r="20" spans="1:27" x14ac:dyDescent="0.25">
      <c r="A20" t="s">
        <v>35</v>
      </c>
      <c r="B20" t="s">
        <v>30</v>
      </c>
      <c r="C20" s="2">
        <v>11.979900000000001</v>
      </c>
      <c r="D20" s="2">
        <v>11.620900000000001</v>
      </c>
      <c r="E20" s="2">
        <v>11.492599999999999</v>
      </c>
      <c r="F20" s="2">
        <v>10.836</v>
      </c>
      <c r="G20" s="2">
        <v>10.9009</v>
      </c>
      <c r="H20" s="2">
        <v>10.527100000000001</v>
      </c>
      <c r="I20" s="2">
        <v>11.798400000000001</v>
      </c>
      <c r="J20" s="2">
        <v>10.8515</v>
      </c>
      <c r="K20" s="2">
        <v>11.910500000000001</v>
      </c>
      <c r="L20" s="2">
        <v>11.856</v>
      </c>
      <c r="M20" s="2">
        <v>10.364599999999999</v>
      </c>
      <c r="N20" s="2">
        <v>11.600099999999999</v>
      </c>
      <c r="O20" s="2">
        <v>11.858599999999999</v>
      </c>
      <c r="P20" s="2">
        <v>11.385899999999999</v>
      </c>
      <c r="Q20" s="2">
        <v>11.188700000000001</v>
      </c>
      <c r="R20" s="2">
        <v>10.151</v>
      </c>
      <c r="S20" s="2">
        <v>11.3339</v>
      </c>
      <c r="T20" s="2">
        <v>10.212</v>
      </c>
      <c r="U20" s="2">
        <v>10.7544</v>
      </c>
      <c r="V20" s="2">
        <v>10.6691</v>
      </c>
      <c r="W20" s="2">
        <f t="shared" si="0"/>
        <v>11.164605</v>
      </c>
      <c r="X20" s="2">
        <f t="shared" si="4"/>
        <v>0.59985497148543288</v>
      </c>
      <c r="Y20" s="2">
        <f t="shared" si="1"/>
        <v>5.3728275338485583</v>
      </c>
      <c r="Z20" s="2">
        <f t="shared" si="2"/>
        <v>10.151</v>
      </c>
      <c r="AA20" s="2">
        <f t="shared" si="3"/>
        <v>11.979900000000001</v>
      </c>
    </row>
    <row r="21" spans="1:27" x14ac:dyDescent="0.25">
      <c r="A21" t="s">
        <v>35</v>
      </c>
      <c r="B21" t="s">
        <v>31</v>
      </c>
      <c r="C21" s="2">
        <v>0.86009999999999998</v>
      </c>
      <c r="D21" s="2">
        <v>0.87339999999999995</v>
      </c>
      <c r="E21" s="2">
        <v>0.86760000000000004</v>
      </c>
      <c r="F21" s="2">
        <v>0.87280000000000002</v>
      </c>
      <c r="G21" s="2">
        <v>0.86050000000000004</v>
      </c>
      <c r="H21" s="2">
        <v>0.86439999999999995</v>
      </c>
      <c r="I21" s="2">
        <v>0.86750000000000005</v>
      </c>
      <c r="J21" s="2">
        <v>0.87629999999999997</v>
      </c>
      <c r="K21" s="2">
        <v>0.87070000000000003</v>
      </c>
      <c r="L21" s="2">
        <v>0.87519999999999998</v>
      </c>
      <c r="M21" s="2">
        <v>0.86760000000000004</v>
      </c>
      <c r="N21" s="2">
        <v>0.87729999999999997</v>
      </c>
      <c r="O21" s="2">
        <v>0.87239999999999995</v>
      </c>
      <c r="P21" s="2">
        <v>0.88170000000000004</v>
      </c>
      <c r="Q21" s="2">
        <v>0.88160000000000005</v>
      </c>
      <c r="R21" s="2">
        <v>0.87450000000000006</v>
      </c>
      <c r="S21" s="2">
        <v>0.87980000000000003</v>
      </c>
      <c r="T21" s="2">
        <v>0.8659</v>
      </c>
      <c r="U21" s="2">
        <v>0.89080000000000004</v>
      </c>
      <c r="V21" s="2">
        <v>0.86880000000000002</v>
      </c>
      <c r="W21" s="2">
        <f t="shared" si="0"/>
        <v>0.87244499999999992</v>
      </c>
      <c r="X21" s="2">
        <f t="shared" si="4"/>
        <v>7.6162205712199385E-3</v>
      </c>
      <c r="Y21" s="2">
        <f t="shared" si="1"/>
        <v>0.87297429307520125</v>
      </c>
      <c r="Z21" s="2">
        <f t="shared" si="2"/>
        <v>0.86009999999999998</v>
      </c>
      <c r="AA21" s="2">
        <f t="shared" si="3"/>
        <v>0.89080000000000004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36</v>
      </c>
    </row>
    <row r="2" spans="1:6" x14ac:dyDescent="0.25">
      <c r="A2" t="s">
        <v>27</v>
      </c>
      <c r="B2" t="str">
        <f>TEXT(Results_Table7!W2,"0.00")&amp;" ± "&amp;TEXT(Results_Table7!X2,"0.00")</f>
        <v>5.92 ± 0.65</v>
      </c>
      <c r="C2" t="str">
        <f>TEXT(Results_Table7!W3,"0.00")&amp;" ± "&amp;TEXT(Results_Table7!X3,"0.00")</f>
        <v>7.81 ± 0.90</v>
      </c>
      <c r="D2" t="str">
        <f>TEXT(Results_Table7!W4,"0.00")&amp;" ± "&amp;TEXT(Results_Table7!X4,"0.00")</f>
        <v>16.87 ± 1.36</v>
      </c>
      <c r="E2" t="str">
        <f>TEXT(Results_Table7!W5,"0.000")&amp;" ± "&amp;TEXT(Results_Table7!X5,"0.000")</f>
        <v>0.741 ± 0.029</v>
      </c>
      <c r="F2">
        <v>0</v>
      </c>
    </row>
    <row r="3" spans="1:6" x14ac:dyDescent="0.25">
      <c r="A3" t="s">
        <v>32</v>
      </c>
      <c r="B3" t="str">
        <f>TEXT(Results_Table7!W6,"0.00")&amp;" ± "&amp;TEXT(Results_Table7!X6,"0.00")</f>
        <v>5.31 ± 0.63</v>
      </c>
      <c r="C3" t="str">
        <f>TEXT(Results_Table7!W7,"0.00")&amp;" ± "&amp;TEXT(Results_Table7!X7,"0.00")</f>
        <v>7.04 ± 0.67</v>
      </c>
      <c r="D3" t="str">
        <f>TEXT(Results_Table7!W8,"0.00")&amp;" ± "&amp;TEXT(Results_Table7!X8,"0.00")</f>
        <v>15.31 ± 1.14</v>
      </c>
      <c r="E3" t="str">
        <f>TEXT(Results_Table7!W9,"0.000")&amp;" ± "&amp;TEXT(Results_Table7!X9,"0.000")</f>
        <v>0.782 ± 0.018</v>
      </c>
      <c r="F3">
        <v>10.3</v>
      </c>
    </row>
    <row r="4" spans="1:6" x14ac:dyDescent="0.25">
      <c r="A4" t="s">
        <v>33</v>
      </c>
      <c r="B4" t="str">
        <f>TEXT(Results_Table7!W10,"0.00")&amp;" ± "&amp;TEXT(Results_Table7!X10,"0.00")</f>
        <v>4.72 ± 0.43</v>
      </c>
      <c r="C4" t="str">
        <f>TEXT(Results_Table7!W11,"0.00")&amp;" ± "&amp;TEXT(Results_Table7!X11,"0.00")</f>
        <v>6.27 ± 0.70</v>
      </c>
      <c r="D4" t="str">
        <f>TEXT(Results_Table7!W12,"0.00")&amp;" ± "&amp;TEXT(Results_Table7!X12,"0.00")</f>
        <v>13.67 ± 0.98</v>
      </c>
      <c r="E4" t="str">
        <f>TEXT(Results_Table7!W13,"0.000")&amp;" ± "&amp;TEXT(Results_Table7!X13,"0.000")</f>
        <v>0.817 ± 0.014</v>
      </c>
      <c r="F4">
        <v>20.27</v>
      </c>
    </row>
    <row r="5" spans="1:6" x14ac:dyDescent="0.25">
      <c r="A5" t="s">
        <v>34</v>
      </c>
      <c r="B5" t="str">
        <f>TEXT(Results_Table7!W14,"0.00")&amp;" ± "&amp;TEXT(Results_Table7!X14,"0.00")</f>
        <v>4.14 ± 0.39</v>
      </c>
      <c r="C5" t="str">
        <f>TEXT(Results_Table7!W15,"0.00")&amp;" ± "&amp;TEXT(Results_Table7!X15,"0.00")</f>
        <v>5.51 ± 0.47</v>
      </c>
      <c r="D5" t="str">
        <f>TEXT(Results_Table7!W16,"0.00")&amp;" ± "&amp;TEXT(Results_Table7!X16,"0.00")</f>
        <v>12.06 ± 0.61</v>
      </c>
      <c r="E5" t="str">
        <f>TEXT(Results_Table7!W17,"0.000")&amp;" ± "&amp;TEXT(Results_Table7!X17,"0.000")</f>
        <v>0.851 ± 0.015</v>
      </c>
      <c r="F5">
        <v>30.07</v>
      </c>
    </row>
    <row r="6" spans="1:6" x14ac:dyDescent="0.25">
      <c r="A6" t="s">
        <v>35</v>
      </c>
      <c r="B6" t="str">
        <f>TEXT(Results_Table7!W18,"0.00")&amp;" ± "&amp;TEXT(Results_Table7!X18,"0.00")</f>
        <v>3.85 ± 0.37</v>
      </c>
      <c r="C6" t="str">
        <f>TEXT(Results_Table7!W19,"0.00")&amp;" ± "&amp;TEXT(Results_Table7!X19,"0.00")</f>
        <v>5.13 ± 0.37</v>
      </c>
      <c r="D6" t="str">
        <f>TEXT(Results_Table7!W20,"0.00")&amp;" ± "&amp;TEXT(Results_Table7!X20,"0.00")</f>
        <v>11.16 ± 0.60</v>
      </c>
      <c r="E6" t="str">
        <f>TEXT(Results_Table7!W21,"0.000")&amp;" ± "&amp;TEXT(Results_Table7!X21,"0.000")</f>
        <v>0.872 ± 0.008</v>
      </c>
      <c r="F6">
        <v>34.97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Results_Table7</vt:lpstr>
      <vt:lpstr>Table7_Summary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2026-09-26T17:44:46Z</dcterms:created>
  <dcterms:modified xsi:type="dcterms:W3CDTF">2026-09-26T17:46:18Z</dcterms:modified>
</cp:coreProperties>
</file>