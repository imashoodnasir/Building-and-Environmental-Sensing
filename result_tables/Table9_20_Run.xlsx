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TED_DEMO" sheetId="1" state="visible" r:id="rId1"/>
    <sheet xmlns:r="http://schemas.openxmlformats.org/officeDocument/2006/relationships" name="Table9_Summary" sheetId="2" state="visible" r:id="rId2"/>
    <sheet xmlns:r="http://schemas.openxmlformats.org/officeDocument/2006/relationships" name="Manuscript_Reference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40" customWidth="1" min="29" max="29"/>
  </cols>
  <sheetData>
    <row r="1">
      <c r="A1" s="1" t="inlineStr">
        <is>
          <t>Perturbation</t>
        </is>
      </c>
      <c r="B1" s="1" t="inlineStr">
        <is>
          <t>Metric</t>
        </is>
      </c>
      <c r="C1" s="1" t="inlineStr">
        <is>
          <t>Run 1</t>
        </is>
      </c>
      <c r="D1" s="1" t="inlineStr">
        <is>
          <t>Run 2</t>
        </is>
      </c>
      <c r="E1" s="1" t="inlineStr">
        <is>
          <t>Run 3</t>
        </is>
      </c>
      <c r="F1" s="1" t="inlineStr">
        <is>
          <t>Run 4</t>
        </is>
      </c>
      <c r="G1" s="1" t="inlineStr">
        <is>
          <t>Run 5</t>
        </is>
      </c>
      <c r="H1" s="1" t="inlineStr">
        <is>
          <t>Run 6</t>
        </is>
      </c>
      <c r="I1" s="1" t="inlineStr">
        <is>
          <t>Run 7</t>
        </is>
      </c>
      <c r="J1" s="1" t="inlineStr">
        <is>
          <t>Run 8</t>
        </is>
      </c>
      <c r="K1" s="1" t="inlineStr">
        <is>
          <t>Run 9</t>
        </is>
      </c>
      <c r="L1" s="1" t="inlineStr">
        <is>
          <t>Run 10</t>
        </is>
      </c>
      <c r="M1" s="1" t="inlineStr">
        <is>
          <t>Run 11</t>
        </is>
      </c>
      <c r="N1" s="1" t="inlineStr">
        <is>
          <t>Run 12</t>
        </is>
      </c>
      <c r="O1" s="1" t="inlineStr">
        <is>
          <t>Run 13</t>
        </is>
      </c>
      <c r="P1" s="1" t="inlineStr">
        <is>
          <t>Run 14</t>
        </is>
      </c>
      <c r="Q1" s="1" t="inlineStr">
        <is>
          <t>Run 15</t>
        </is>
      </c>
      <c r="R1" s="1" t="inlineStr">
        <is>
          <t>Run 16</t>
        </is>
      </c>
      <c r="S1" s="1" t="inlineStr">
        <is>
          <t>Run 17</t>
        </is>
      </c>
      <c r="T1" s="1" t="inlineStr">
        <is>
          <t>Run 18</t>
        </is>
      </c>
      <c r="U1" s="1" t="inlineStr">
        <is>
          <t>Run 19</t>
        </is>
      </c>
      <c r="V1" s="1" t="inlineStr">
        <is>
          <t>Run 20</t>
        </is>
      </c>
      <c r="W1" s="1" t="inlineStr">
        <is>
          <t>Mean</t>
        </is>
      </c>
      <c r="X1" s="1" t="inlineStr">
        <is>
          <t>SD</t>
        </is>
      </c>
      <c r="Y1" s="1" t="inlineStr">
        <is>
          <t>CV (%)</t>
        </is>
      </c>
      <c r="Z1" s="1" t="inlineStr">
        <is>
          <t>Min</t>
        </is>
      </c>
      <c r="AA1" s="1" t="inlineStr">
        <is>
          <t>Max</t>
        </is>
      </c>
      <c r="AC1" s="2" t="inlineStr">
        <is>
          <t>STATUS</t>
        </is>
      </c>
    </row>
    <row r="2">
      <c r="A2" t="inlineStr">
        <is>
          <t>Missing modality</t>
        </is>
      </c>
      <c r="B2" t="inlineStr">
        <is>
          <t>Detection Rate (%)</t>
        </is>
      </c>
      <c r="C2" s="3" t="n">
        <v>90.56310000000001</v>
      </c>
      <c r="D2" s="3" t="n">
        <v>89.9061</v>
      </c>
      <c r="E2" s="3" t="n">
        <v>92.4785</v>
      </c>
      <c r="F2" s="3" t="n">
        <v>88.7914</v>
      </c>
      <c r="G2" s="3" t="n">
        <v>91.0301</v>
      </c>
      <c r="H2" s="3" t="n">
        <v>94.63549999999999</v>
      </c>
      <c r="I2" s="3" t="n">
        <v>91.4982</v>
      </c>
      <c r="J2" s="3" t="n">
        <v>94.38039999999999</v>
      </c>
      <c r="K2" s="3" t="n">
        <v>94.0475</v>
      </c>
      <c r="L2" s="3" t="n">
        <v>94.437</v>
      </c>
      <c r="M2" s="3" t="n">
        <v>88.99299999999999</v>
      </c>
      <c r="N2" s="3" t="n">
        <v>96.5911</v>
      </c>
      <c r="O2" s="3" t="n">
        <v>86.7218</v>
      </c>
      <c r="P2" s="3" t="n">
        <v>88.4486</v>
      </c>
      <c r="Q2" s="3" t="n">
        <v>89.3228</v>
      </c>
      <c r="R2" s="3" t="n">
        <v>93.9235</v>
      </c>
      <c r="S2" s="3" t="n">
        <v>94.8575</v>
      </c>
      <c r="T2" s="3" t="n">
        <v>90.179</v>
      </c>
      <c r="U2" s="3" t="n">
        <v>89.0857</v>
      </c>
      <c r="V2" s="3" t="n">
        <v>89.78449999999999</v>
      </c>
      <c r="W2" s="3">
        <f>AVERAGE(C2:V2)</f>
        <v/>
      </c>
      <c r="X2" s="3">
        <f>STDEV.S(C2:V2)</f>
        <v/>
      </c>
      <c r="Y2" s="3">
        <f>IFERROR(X2/ABS(W2)*100,"")</f>
        <v/>
      </c>
      <c r="Z2" s="3">
        <f>MIN(C2:V2)</f>
        <v/>
      </c>
      <c r="AA2" s="3">
        <f>MAX(C2:V2)</f>
        <v/>
      </c>
      <c r="AC2" s="2" t="inlineStr">
        <is>
          <t>SIMULATED DEMO — NOT EXPERIMENTAL RESULTS</t>
        </is>
      </c>
    </row>
    <row r="3">
      <c r="A3" t="inlineStr">
        <is>
          <t>Missing modality</t>
        </is>
      </c>
      <c r="B3" t="inlineStr">
        <is>
          <t>False-Positive Rate (%)</t>
        </is>
      </c>
      <c r="C3" s="3" t="n">
        <v>3.498</v>
      </c>
      <c r="D3" s="3" t="n">
        <v>3.7068</v>
      </c>
      <c r="E3" s="3" t="n">
        <v>3.3607</v>
      </c>
      <c r="F3" s="3" t="n">
        <v>4.4989</v>
      </c>
      <c r="G3" s="3" t="n">
        <v>4.849</v>
      </c>
      <c r="H3" s="3" t="n">
        <v>5.6676</v>
      </c>
      <c r="I3" s="3" t="n">
        <v>6.0073</v>
      </c>
      <c r="J3" s="3" t="n">
        <v>5.913</v>
      </c>
      <c r="K3" s="3" t="n">
        <v>4.4038</v>
      </c>
      <c r="L3" s="3" t="n">
        <v>4.6922</v>
      </c>
      <c r="M3" s="3" t="n">
        <v>4.7312</v>
      </c>
      <c r="N3" s="3" t="n">
        <v>5.0928</v>
      </c>
      <c r="O3" s="3" t="n">
        <v>2.8641</v>
      </c>
      <c r="P3" s="3" t="n">
        <v>5.704</v>
      </c>
      <c r="Q3" s="3" t="n">
        <v>6.0395</v>
      </c>
      <c r="R3" s="3" t="n">
        <v>4.5037</v>
      </c>
      <c r="S3" s="3" t="n">
        <v>6.1095</v>
      </c>
      <c r="T3" s="3" t="n">
        <v>4.5506</v>
      </c>
      <c r="U3" s="3" t="n">
        <v>4.0415</v>
      </c>
      <c r="V3" s="3" t="n">
        <v>5.2288</v>
      </c>
      <c r="W3" s="3">
        <f>AVERAGE(C3:V3)</f>
        <v/>
      </c>
      <c r="X3" s="3">
        <f>STDEV.S(C3:V3)</f>
        <v/>
      </c>
      <c r="Y3" s="3">
        <f>IFERROR(X3/ABS(W3)*100,"")</f>
        <v/>
      </c>
      <c r="Z3" s="3">
        <f>MIN(C3:V3)</f>
        <v/>
      </c>
      <c r="AA3" s="3">
        <f>MAX(C3:V3)</f>
        <v/>
      </c>
    </row>
    <row r="4">
      <c r="A4" t="inlineStr">
        <is>
          <t>Missing modality</t>
        </is>
      </c>
      <c r="B4" t="inlineStr">
        <is>
          <t>Detection Delay (h)</t>
        </is>
      </c>
      <c r="C4" s="3" t="n">
        <v>2.7853</v>
      </c>
      <c r="D4" s="3" t="n">
        <v>1.8188</v>
      </c>
      <c r="E4" s="3" t="n">
        <v>3.0612</v>
      </c>
      <c r="F4" s="3" t="n">
        <v>1.8489</v>
      </c>
      <c r="G4" s="3" t="n">
        <v>2.409</v>
      </c>
      <c r="H4" s="3" t="n">
        <v>2.2571</v>
      </c>
      <c r="I4" s="3" t="n">
        <v>1.8859</v>
      </c>
      <c r="J4" s="3" t="n">
        <v>1.9448</v>
      </c>
      <c r="K4" s="3" t="n">
        <v>2.3097</v>
      </c>
      <c r="L4" s="3" t="n">
        <v>1.8078</v>
      </c>
      <c r="M4" s="3" t="n">
        <v>2.6523</v>
      </c>
      <c r="N4" s="3" t="n">
        <v>2.3052</v>
      </c>
      <c r="O4" s="3" t="n">
        <v>2.7705</v>
      </c>
      <c r="P4" s="3" t="n">
        <v>3.3957</v>
      </c>
      <c r="Q4" s="3" t="n">
        <v>2.6693</v>
      </c>
      <c r="R4" s="3" t="n">
        <v>2.7562</v>
      </c>
      <c r="S4" s="3" t="n">
        <v>3.0698</v>
      </c>
      <c r="T4" s="3" t="n">
        <v>2.3429</v>
      </c>
      <c r="U4" s="3" t="n">
        <v>2.5613</v>
      </c>
      <c r="V4" s="3" t="n">
        <v>1.078</v>
      </c>
      <c r="W4" s="3">
        <f>AVERAGE(C4:V4)</f>
        <v/>
      </c>
      <c r="X4" s="3">
        <f>STDEV.S(C4:V4)</f>
        <v/>
      </c>
      <c r="Y4" s="3">
        <f>IFERROR(X4/ABS(W4)*100,"")</f>
        <v/>
      </c>
      <c r="Z4" s="3">
        <f>MIN(C4:V4)</f>
        <v/>
      </c>
      <c r="AA4" s="3">
        <f>MAX(C4:V4)</f>
        <v/>
      </c>
    </row>
    <row r="5">
      <c r="A5" t="inlineStr">
        <is>
          <t>Missing modality</t>
        </is>
      </c>
      <c r="B5" t="inlineStr">
        <is>
          <t>Peak Shift Score</t>
        </is>
      </c>
      <c r="C5" s="3" t="n">
        <v>0.2419</v>
      </c>
      <c r="D5" s="3" t="n">
        <v>0.2226</v>
      </c>
      <c r="E5" s="3" t="n">
        <v>0.2568</v>
      </c>
      <c r="F5" s="3" t="n">
        <v>0.237</v>
      </c>
      <c r="G5" s="3" t="n">
        <v>0.2255</v>
      </c>
      <c r="H5" s="3" t="n">
        <v>0.2387</v>
      </c>
      <c r="I5" s="3" t="n">
        <v>0.2485</v>
      </c>
      <c r="J5" s="3" t="n">
        <v>0.2334</v>
      </c>
      <c r="K5" s="3" t="n">
        <v>0.2538</v>
      </c>
      <c r="L5" s="3" t="n">
        <v>0.237</v>
      </c>
      <c r="M5" s="3" t="n">
        <v>0.2408</v>
      </c>
      <c r="N5" s="3" t="n">
        <v>0.2345</v>
      </c>
      <c r="O5" s="3" t="n">
        <v>0.2276</v>
      </c>
      <c r="P5" s="3" t="n">
        <v>0.2362</v>
      </c>
      <c r="Q5" s="3" t="n">
        <v>0.2434</v>
      </c>
      <c r="R5" s="3" t="n">
        <v>0.2291</v>
      </c>
      <c r="S5" s="3" t="n">
        <v>0.2223</v>
      </c>
      <c r="T5" s="3" t="n">
        <v>0.2612</v>
      </c>
      <c r="U5" s="3" t="n">
        <v>0.2378</v>
      </c>
      <c r="V5" s="3" t="n">
        <v>0.2368</v>
      </c>
      <c r="W5" s="3">
        <f>AVERAGE(C5:V5)</f>
        <v/>
      </c>
      <c r="X5" s="3">
        <f>STDEV.S(C5:V5)</f>
        <v/>
      </c>
      <c r="Y5" s="3">
        <f>IFERROR(X5/ABS(W5)*100,"")</f>
        <v/>
      </c>
      <c r="Z5" s="3">
        <f>MIN(C5:V5)</f>
        <v/>
      </c>
      <c r="AA5" s="3">
        <f>MAX(C5:V5)</f>
        <v/>
      </c>
    </row>
    <row r="6">
      <c r="A6" t="inlineStr">
        <is>
          <t>Timestamp jitter</t>
        </is>
      </c>
      <c r="B6" t="inlineStr">
        <is>
          <t>Detection Rate (%)</t>
        </is>
      </c>
      <c r="C6" s="3" t="n">
        <v>83.6789</v>
      </c>
      <c r="D6" s="3" t="n">
        <v>91.49809999999999</v>
      </c>
      <c r="E6" s="3" t="n">
        <v>81.96639999999999</v>
      </c>
      <c r="F6" s="3" t="n">
        <v>89.15940000000001</v>
      </c>
      <c r="G6" s="3" t="n">
        <v>89.4145</v>
      </c>
      <c r="H6" s="3" t="n">
        <v>85.2979</v>
      </c>
      <c r="I6" s="3" t="n">
        <v>83.5312</v>
      </c>
      <c r="J6" s="3" t="n">
        <v>87.9423</v>
      </c>
      <c r="K6" s="3" t="n">
        <v>88.2863</v>
      </c>
      <c r="L6" s="3" t="n">
        <v>86.4457</v>
      </c>
      <c r="M6" s="3" t="n">
        <v>90.26730000000001</v>
      </c>
      <c r="N6" s="3" t="n">
        <v>88.1048</v>
      </c>
      <c r="O6" s="3" t="n">
        <v>85.71259999999999</v>
      </c>
      <c r="P6" s="3" t="n">
        <v>91.3703</v>
      </c>
      <c r="Q6" s="3" t="n">
        <v>83.72020000000001</v>
      </c>
      <c r="R6" s="3" t="n">
        <v>83.7325</v>
      </c>
      <c r="S6" s="3" t="n">
        <v>86.7235</v>
      </c>
      <c r="T6" s="3" t="n">
        <v>87.056</v>
      </c>
      <c r="U6" s="3" t="n">
        <v>85.8582</v>
      </c>
      <c r="V6" s="3" t="n">
        <v>89.7911</v>
      </c>
      <c r="W6" s="3">
        <f>AVERAGE(C6:V6)</f>
        <v/>
      </c>
      <c r="X6" s="3">
        <f>STDEV.S(C6:V6)</f>
        <v/>
      </c>
      <c r="Y6" s="3">
        <f>IFERROR(X6/ABS(W6)*100,"")</f>
        <v/>
      </c>
      <c r="Z6" s="3">
        <f>MIN(C6:V6)</f>
        <v/>
      </c>
      <c r="AA6" s="3">
        <f>MAX(C6:V6)</f>
        <v/>
      </c>
    </row>
    <row r="7">
      <c r="A7" t="inlineStr">
        <is>
          <t>Timestamp jitter</t>
        </is>
      </c>
      <c r="B7" t="inlineStr">
        <is>
          <t>False-Positive Rate (%)</t>
        </is>
      </c>
      <c r="C7" s="3" t="n">
        <v>5.5421</v>
      </c>
      <c r="D7" s="3" t="n">
        <v>4.2363</v>
      </c>
      <c r="E7" s="3" t="n">
        <v>4.3062</v>
      </c>
      <c r="F7" s="3" t="n">
        <v>6.6807</v>
      </c>
      <c r="G7" s="3" t="n">
        <v>3.0079</v>
      </c>
      <c r="H7" s="3" t="n">
        <v>4.1334</v>
      </c>
      <c r="I7" s="3" t="n">
        <v>3.9994</v>
      </c>
      <c r="J7" s="3" t="n">
        <v>6.363</v>
      </c>
      <c r="K7" s="3" t="n">
        <v>4.9992</v>
      </c>
      <c r="L7" s="3" t="n">
        <v>2.5734</v>
      </c>
      <c r="M7" s="3" t="n">
        <v>5.3316</v>
      </c>
      <c r="N7" s="3" t="n">
        <v>3.862</v>
      </c>
      <c r="O7" s="3" t="n">
        <v>4.6231</v>
      </c>
      <c r="P7" s="3" t="n">
        <v>5.4346</v>
      </c>
      <c r="Q7" s="3" t="n">
        <v>6.6407</v>
      </c>
      <c r="R7" s="3" t="n">
        <v>3.8292</v>
      </c>
      <c r="S7" s="3" t="n">
        <v>6.6447</v>
      </c>
      <c r="T7" s="3" t="n">
        <v>5.4017</v>
      </c>
      <c r="U7" s="3" t="n">
        <v>3.5949</v>
      </c>
      <c r="V7" s="3" t="n">
        <v>4.654</v>
      </c>
      <c r="W7" s="3">
        <f>AVERAGE(C7:V7)</f>
        <v/>
      </c>
      <c r="X7" s="3">
        <f>STDEV.S(C7:V7)</f>
        <v/>
      </c>
      <c r="Y7" s="3">
        <f>IFERROR(X7/ABS(W7)*100,"")</f>
        <v/>
      </c>
      <c r="Z7" s="3">
        <f>MIN(C7:V7)</f>
        <v/>
      </c>
      <c r="AA7" s="3">
        <f>MAX(C7:V7)</f>
        <v/>
      </c>
    </row>
    <row r="8">
      <c r="A8" t="inlineStr">
        <is>
          <t>Timestamp jitter</t>
        </is>
      </c>
      <c r="B8" t="inlineStr">
        <is>
          <t>Detection Delay (h)</t>
        </is>
      </c>
      <c r="C8" s="3" t="n">
        <v>2.8988</v>
      </c>
      <c r="D8" s="3" t="n">
        <v>3.728</v>
      </c>
      <c r="E8" s="3" t="n">
        <v>2.9196</v>
      </c>
      <c r="F8" s="3" t="n">
        <v>2.3965</v>
      </c>
      <c r="G8" s="3" t="n">
        <v>4.4908</v>
      </c>
      <c r="H8" s="3" t="n">
        <v>4.1392</v>
      </c>
      <c r="I8" s="3" t="n">
        <v>2.2868</v>
      </c>
      <c r="J8" s="3" t="n">
        <v>2.6638</v>
      </c>
      <c r="K8" s="3" t="n">
        <v>3.1633</v>
      </c>
      <c r="L8" s="3" t="n">
        <v>2.7605</v>
      </c>
      <c r="M8" s="3" t="n">
        <v>3.1701</v>
      </c>
      <c r="N8" s="3" t="n">
        <v>3.5196</v>
      </c>
      <c r="O8" s="3" t="n">
        <v>3.0793</v>
      </c>
      <c r="P8" s="3" t="n">
        <v>2.9734</v>
      </c>
      <c r="Q8" s="3" t="n">
        <v>2.3323</v>
      </c>
      <c r="R8" s="3" t="n">
        <v>3.1623</v>
      </c>
      <c r="S8" s="3" t="n">
        <v>2.7926</v>
      </c>
      <c r="T8" s="3" t="n">
        <v>2.811</v>
      </c>
      <c r="U8" s="3" t="n">
        <v>4.0725</v>
      </c>
      <c r="V8" s="3" t="n">
        <v>3.3849</v>
      </c>
      <c r="W8" s="3">
        <f>AVERAGE(C8:V8)</f>
        <v/>
      </c>
      <c r="X8" s="3">
        <f>STDEV.S(C8:V8)</f>
        <v/>
      </c>
      <c r="Y8" s="3">
        <f>IFERROR(X8/ABS(W8)*100,"")</f>
        <v/>
      </c>
      <c r="Z8" s="3">
        <f>MIN(C8:V8)</f>
        <v/>
      </c>
      <c r="AA8" s="3">
        <f>MAX(C8:V8)</f>
        <v/>
      </c>
    </row>
    <row r="9">
      <c r="A9" t="inlineStr">
        <is>
          <t>Timestamp jitter</t>
        </is>
      </c>
      <c r="B9" t="inlineStr">
        <is>
          <t>Peak Shift Score</t>
        </is>
      </c>
      <c r="C9" s="3" t="n">
        <v>0.2125</v>
      </c>
      <c r="D9" s="3" t="n">
        <v>0.2106</v>
      </c>
      <c r="E9" s="3" t="n">
        <v>0.2311</v>
      </c>
      <c r="F9" s="3" t="n">
        <v>0.2265</v>
      </c>
      <c r="G9" s="3" t="n">
        <v>0.2217</v>
      </c>
      <c r="H9" s="3" t="n">
        <v>0.2237</v>
      </c>
      <c r="I9" s="3" t="n">
        <v>0.2284</v>
      </c>
      <c r="J9" s="3" t="n">
        <v>0.231</v>
      </c>
      <c r="K9" s="3" t="n">
        <v>0.2262</v>
      </c>
      <c r="L9" s="3" t="n">
        <v>0.2321</v>
      </c>
      <c r="M9" s="3" t="n">
        <v>0.223</v>
      </c>
      <c r="N9" s="3" t="n">
        <v>0.2285</v>
      </c>
      <c r="O9" s="3" t="n">
        <v>0.2421</v>
      </c>
      <c r="P9" s="3" t="n">
        <v>0.228</v>
      </c>
      <c r="Q9" s="3" t="n">
        <v>0.2258</v>
      </c>
      <c r="R9" s="3" t="n">
        <v>0.2283</v>
      </c>
      <c r="S9" s="3" t="n">
        <v>0.2146</v>
      </c>
      <c r="T9" s="3" t="n">
        <v>0.2324</v>
      </c>
      <c r="U9" s="3" t="n">
        <v>0.2243</v>
      </c>
      <c r="V9" s="3" t="n">
        <v>0.2305</v>
      </c>
      <c r="W9" s="3">
        <f>AVERAGE(C9:V9)</f>
        <v/>
      </c>
      <c r="X9" s="3">
        <f>STDEV.S(C9:V9)</f>
        <v/>
      </c>
      <c r="Y9" s="3">
        <f>IFERROR(X9/ABS(W9)*100,"")</f>
        <v/>
      </c>
      <c r="Z9" s="3">
        <f>MIN(C9:V9)</f>
        <v/>
      </c>
      <c r="AA9" s="3">
        <f>MAX(C9:V9)</f>
        <v/>
      </c>
    </row>
    <row r="10">
      <c r="A10" t="inlineStr">
        <is>
          <t>Sampling-frequency shift</t>
        </is>
      </c>
      <c r="B10" t="inlineStr">
        <is>
          <t>Detection Rate (%)</t>
        </is>
      </c>
      <c r="C10" s="3" t="n">
        <v>96.3289</v>
      </c>
      <c r="D10" s="3" t="n">
        <v>91.733</v>
      </c>
      <c r="E10" s="3" t="n">
        <v>94.51179999999999</v>
      </c>
      <c r="F10" s="3" t="n">
        <v>89.87179999999999</v>
      </c>
      <c r="G10" s="3" t="n">
        <v>90.31140000000001</v>
      </c>
      <c r="H10" s="3" t="n">
        <v>91.8253</v>
      </c>
      <c r="I10" s="3" t="n">
        <v>94.9752</v>
      </c>
      <c r="J10" s="3" t="n">
        <v>97.68340000000001</v>
      </c>
      <c r="K10" s="3" t="n">
        <v>93.6793</v>
      </c>
      <c r="L10" s="3" t="n">
        <v>95.8201</v>
      </c>
      <c r="M10" s="3" t="n">
        <v>90.7657</v>
      </c>
      <c r="N10" s="3" t="n">
        <v>93.1772</v>
      </c>
      <c r="O10" s="3" t="n">
        <v>90.8595</v>
      </c>
      <c r="P10" s="3" t="n">
        <v>93.7042</v>
      </c>
      <c r="Q10" s="3" t="n">
        <v>91.72</v>
      </c>
      <c r="R10" s="3" t="n">
        <v>91.2778</v>
      </c>
      <c r="S10" s="3" t="n">
        <v>96.163</v>
      </c>
      <c r="T10" s="3" t="n">
        <v>90.58669999999999</v>
      </c>
      <c r="U10" s="3" t="n">
        <v>92.6439</v>
      </c>
      <c r="V10" s="3" t="n">
        <v>92.32089999999999</v>
      </c>
      <c r="W10" s="3">
        <f>AVERAGE(C10:V10)</f>
        <v/>
      </c>
      <c r="X10" s="3">
        <f>STDEV.S(C10:V10)</f>
        <v/>
      </c>
      <c r="Y10" s="3">
        <f>IFERROR(X10/ABS(W10)*100,"")</f>
        <v/>
      </c>
      <c r="Z10" s="3">
        <f>MIN(C10:V10)</f>
        <v/>
      </c>
      <c r="AA10" s="3">
        <f>MAX(C10:V10)</f>
        <v/>
      </c>
    </row>
    <row r="11">
      <c r="A11" t="inlineStr">
        <is>
          <t>Sampling-frequency shift</t>
        </is>
      </c>
      <c r="B11" t="inlineStr">
        <is>
          <t>False-Positive Rate (%)</t>
        </is>
      </c>
      <c r="C11" s="3" t="n">
        <v>6.1938</v>
      </c>
      <c r="D11" s="3" t="n">
        <v>2.3274</v>
      </c>
      <c r="E11" s="3" t="n">
        <v>3.5018</v>
      </c>
      <c r="F11" s="3" t="n">
        <v>5.7578</v>
      </c>
      <c r="G11" s="3" t="n">
        <v>6.0122</v>
      </c>
      <c r="H11" s="3" t="n">
        <v>4.7111</v>
      </c>
      <c r="I11" s="3" t="n">
        <v>3.9536</v>
      </c>
      <c r="J11" s="3" t="n">
        <v>4.6512</v>
      </c>
      <c r="K11" s="3" t="n">
        <v>5.4014</v>
      </c>
      <c r="L11" s="3" t="n">
        <v>6.1002</v>
      </c>
      <c r="M11" s="3" t="n">
        <v>5.1462</v>
      </c>
      <c r="N11" s="3" t="n">
        <v>4.6516</v>
      </c>
      <c r="O11" s="3" t="n">
        <v>3.4722</v>
      </c>
      <c r="P11" s="3" t="n">
        <v>4.9316</v>
      </c>
      <c r="Q11" s="3" t="n">
        <v>4.2549</v>
      </c>
      <c r="R11" s="3" t="n">
        <v>3.9522</v>
      </c>
      <c r="S11" s="3" t="n">
        <v>5.6353</v>
      </c>
      <c r="T11" s="3" t="n">
        <v>5.6009</v>
      </c>
      <c r="U11" s="3" t="n">
        <v>4.9017</v>
      </c>
      <c r="V11" s="3" t="n">
        <v>4.8256</v>
      </c>
      <c r="W11" s="3">
        <f>AVERAGE(C11:V11)</f>
        <v/>
      </c>
      <c r="X11" s="3">
        <f>STDEV.S(C11:V11)</f>
        <v/>
      </c>
      <c r="Y11" s="3">
        <f>IFERROR(X11/ABS(W11)*100,"")</f>
        <v/>
      </c>
      <c r="Z11" s="3">
        <f>MIN(C11:V11)</f>
        <v/>
      </c>
      <c r="AA11" s="3">
        <f>MAX(C11:V11)</f>
        <v/>
      </c>
    </row>
    <row r="12">
      <c r="A12" t="inlineStr">
        <is>
          <t>Sampling-frequency shift</t>
        </is>
      </c>
      <c r="B12" t="inlineStr">
        <is>
          <t>Detection Delay (h)</t>
        </is>
      </c>
      <c r="C12" s="3" t="n">
        <v>2.0853</v>
      </c>
      <c r="D12" s="3" t="n">
        <v>2.4947</v>
      </c>
      <c r="E12" s="3" t="n">
        <v>1.8763</v>
      </c>
      <c r="F12" s="3" t="n">
        <v>1.5021</v>
      </c>
      <c r="G12" s="3" t="n">
        <v>2.0874</v>
      </c>
      <c r="H12" s="3" t="n">
        <v>1.2408</v>
      </c>
      <c r="I12" s="3" t="n">
        <v>2.1278</v>
      </c>
      <c r="J12" s="3" t="n">
        <v>2.1524</v>
      </c>
      <c r="K12" s="3" t="n">
        <v>2.8329</v>
      </c>
      <c r="L12" s="3" t="n">
        <v>1.7712</v>
      </c>
      <c r="M12" s="3" t="n">
        <v>2.5242</v>
      </c>
      <c r="N12" s="3" t="n">
        <v>2.0426</v>
      </c>
      <c r="O12" s="3" t="n">
        <v>1.595</v>
      </c>
      <c r="P12" s="3" t="n">
        <v>2.3557</v>
      </c>
      <c r="Q12" s="3" t="n">
        <v>2.2319</v>
      </c>
      <c r="R12" s="3" t="n">
        <v>1.3009</v>
      </c>
      <c r="S12" s="3" t="n">
        <v>1.9958</v>
      </c>
      <c r="T12" s="3" t="n">
        <v>1.8298</v>
      </c>
      <c r="U12" s="3" t="n">
        <v>2.1175</v>
      </c>
      <c r="V12" s="3" t="n">
        <v>2.0735</v>
      </c>
      <c r="W12" s="3">
        <f>AVERAGE(C12:V12)</f>
        <v/>
      </c>
      <c r="X12" s="3">
        <f>STDEV.S(C12:V12)</f>
        <v/>
      </c>
      <c r="Y12" s="3">
        <f>IFERROR(X12/ABS(W12)*100,"")</f>
        <v/>
      </c>
      <c r="Z12" s="3">
        <f>MIN(C12:V12)</f>
        <v/>
      </c>
      <c r="AA12" s="3">
        <f>MAX(C12:V12)</f>
        <v/>
      </c>
    </row>
    <row r="13">
      <c r="A13" t="inlineStr">
        <is>
          <t>Sampling-frequency shift</t>
        </is>
      </c>
      <c r="B13" t="inlineStr">
        <is>
          <t>Peak Shift Score</t>
        </is>
      </c>
      <c r="C13" s="3" t="n">
        <v>0.2388</v>
      </c>
      <c r="D13" s="3" t="n">
        <v>0.243</v>
      </c>
      <c r="E13" s="3" t="n">
        <v>0.2476</v>
      </c>
      <c r="F13" s="3" t="n">
        <v>0.2767</v>
      </c>
      <c r="G13" s="3" t="n">
        <v>0.2347</v>
      </c>
      <c r="H13" s="3" t="n">
        <v>0.2282</v>
      </c>
      <c r="I13" s="3" t="n">
        <v>0.2566</v>
      </c>
      <c r="J13" s="3" t="n">
        <v>0.2499</v>
      </c>
      <c r="K13" s="3" t="n">
        <v>0.2601</v>
      </c>
      <c r="L13" s="3" t="n">
        <v>0.2509</v>
      </c>
      <c r="M13" s="3" t="n">
        <v>0.2299</v>
      </c>
      <c r="N13" s="3" t="n">
        <v>0.2419</v>
      </c>
      <c r="O13" s="3" t="n">
        <v>0.2293</v>
      </c>
      <c r="P13" s="3" t="n">
        <v>0.263</v>
      </c>
      <c r="Q13" s="3" t="n">
        <v>0.2378</v>
      </c>
      <c r="R13" s="3" t="n">
        <v>0.2681</v>
      </c>
      <c r="S13" s="3" t="n">
        <v>0.2459</v>
      </c>
      <c r="T13" s="3" t="n">
        <v>0.2661</v>
      </c>
      <c r="U13" s="3" t="n">
        <v>0.2416</v>
      </c>
      <c r="V13" s="3" t="n">
        <v>0.2317</v>
      </c>
      <c r="W13" s="3">
        <f>AVERAGE(C13:V13)</f>
        <v/>
      </c>
      <c r="X13" s="3">
        <f>STDEV.S(C13:V13)</f>
        <v/>
      </c>
      <c r="Y13" s="3">
        <f>IFERROR(X13/ABS(W13)*100,"")</f>
        <v/>
      </c>
      <c r="Z13" s="3">
        <f>MIN(C13:V13)</f>
        <v/>
      </c>
      <c r="AA13" s="3">
        <f>MAX(C13:V13)</f>
        <v/>
      </c>
    </row>
    <row r="14">
      <c r="A14" t="inlineStr">
        <is>
          <t>Station dropout</t>
        </is>
      </c>
      <c r="B14" t="inlineStr">
        <is>
          <t>Detection Rate (%)</t>
        </is>
      </c>
      <c r="C14" s="3" t="n">
        <v>92.26900000000001</v>
      </c>
      <c r="D14" s="3" t="n">
        <v>100.4593</v>
      </c>
      <c r="E14" s="3" t="n">
        <v>98.664</v>
      </c>
      <c r="F14" s="3" t="n">
        <v>97.78700000000001</v>
      </c>
      <c r="G14" s="3" t="n">
        <v>92.6936</v>
      </c>
      <c r="H14" s="3" t="n">
        <v>95.00060000000001</v>
      </c>
      <c r="I14" s="3" t="n">
        <v>97.9787</v>
      </c>
      <c r="J14" s="3" t="n">
        <v>97.3742</v>
      </c>
      <c r="K14" s="3" t="n">
        <v>95.896</v>
      </c>
      <c r="L14" s="3" t="n">
        <v>96.35080000000001</v>
      </c>
      <c r="M14" s="3" t="n">
        <v>97.2033</v>
      </c>
      <c r="N14" s="3" t="n">
        <v>93.79949999999999</v>
      </c>
      <c r="O14" s="3" t="n">
        <v>97.86199999999999</v>
      </c>
      <c r="P14" s="3" t="n">
        <v>96.32550000000001</v>
      </c>
      <c r="Q14" s="3" t="n">
        <v>95.9996</v>
      </c>
      <c r="R14" s="3" t="n">
        <v>95.1801</v>
      </c>
      <c r="S14" s="3" t="n">
        <v>96.29389999999999</v>
      </c>
      <c r="T14" s="3" t="n">
        <v>95.776</v>
      </c>
      <c r="U14" s="3" t="n">
        <v>98.11799999999999</v>
      </c>
      <c r="V14" s="3" t="n">
        <v>97.98480000000001</v>
      </c>
      <c r="W14" s="3">
        <f>AVERAGE(C14:V14)</f>
        <v/>
      </c>
      <c r="X14" s="3">
        <f>STDEV.S(C14:V14)</f>
        <v/>
      </c>
      <c r="Y14" s="3">
        <f>IFERROR(X14/ABS(W14)*100,"")</f>
        <v/>
      </c>
      <c r="Z14" s="3">
        <f>MIN(C14:V14)</f>
        <v/>
      </c>
      <c r="AA14" s="3">
        <f>MAX(C14:V14)</f>
        <v/>
      </c>
    </row>
    <row r="15">
      <c r="A15" t="inlineStr">
        <is>
          <t>Station dropout</t>
        </is>
      </c>
      <c r="B15" t="inlineStr">
        <is>
          <t>False-Positive Rate (%)</t>
        </is>
      </c>
      <c r="C15" s="3" t="n">
        <v>5.3055</v>
      </c>
      <c r="D15" s="3" t="n">
        <v>4.8207</v>
      </c>
      <c r="E15" s="3" t="n">
        <v>5.8829</v>
      </c>
      <c r="F15" s="3" t="n">
        <v>5.1924</v>
      </c>
      <c r="G15" s="3" t="n">
        <v>5.4559</v>
      </c>
      <c r="H15" s="3" t="n">
        <v>4.6136</v>
      </c>
      <c r="I15" s="3" t="n">
        <v>4.5174</v>
      </c>
      <c r="J15" s="3" t="n">
        <v>3.9637</v>
      </c>
      <c r="K15" s="3" t="n">
        <v>4.9063</v>
      </c>
      <c r="L15" s="3" t="n">
        <v>4.1958</v>
      </c>
      <c r="M15" s="3" t="n">
        <v>4.563</v>
      </c>
      <c r="N15" s="3" t="n">
        <v>3.8161</v>
      </c>
      <c r="O15" s="3" t="n">
        <v>3.9952</v>
      </c>
      <c r="P15" s="3" t="n">
        <v>5.3175</v>
      </c>
      <c r="Q15" s="3" t="n">
        <v>4.7177</v>
      </c>
      <c r="R15" s="3" t="n">
        <v>5.1042</v>
      </c>
      <c r="S15" s="3" t="n">
        <v>4.9226</v>
      </c>
      <c r="T15" s="3" t="n">
        <v>5.6053</v>
      </c>
      <c r="U15" s="3" t="n">
        <v>5.3452</v>
      </c>
      <c r="V15" s="3" t="n">
        <v>3.6922</v>
      </c>
      <c r="W15" s="3">
        <f>AVERAGE(C15:V15)</f>
        <v/>
      </c>
      <c r="X15" s="3">
        <f>STDEV.S(C15:V15)</f>
        <v/>
      </c>
      <c r="Y15" s="3">
        <f>IFERROR(X15/ABS(W15)*100,"")</f>
        <v/>
      </c>
      <c r="Z15" s="3">
        <f>MIN(C15:V15)</f>
        <v/>
      </c>
      <c r="AA15" s="3">
        <f>MAX(C15:V15)</f>
        <v/>
      </c>
    </row>
    <row r="16">
      <c r="A16" t="inlineStr">
        <is>
          <t>Station dropout</t>
        </is>
      </c>
      <c r="B16" t="inlineStr">
        <is>
          <t>Detection Delay (h)</t>
        </is>
      </c>
      <c r="C16" s="3" t="n">
        <v>1.1093</v>
      </c>
      <c r="D16" s="3" t="n">
        <v>1.8082</v>
      </c>
      <c r="E16" s="3" t="n">
        <v>0.8861</v>
      </c>
      <c r="F16" s="3" t="n">
        <v>1.7745</v>
      </c>
      <c r="G16" s="3" t="n">
        <v>1.9061</v>
      </c>
      <c r="H16" s="3" t="n">
        <v>1.5555</v>
      </c>
      <c r="I16" s="3" t="n">
        <v>1.2885</v>
      </c>
      <c r="J16" s="3" t="n">
        <v>0.8161</v>
      </c>
      <c r="K16" s="3" t="n">
        <v>1.3147</v>
      </c>
      <c r="L16" s="3" t="n">
        <v>1.1865</v>
      </c>
      <c r="M16" s="3" t="n">
        <v>1.2891</v>
      </c>
      <c r="N16" s="3" t="n">
        <v>1.6121</v>
      </c>
      <c r="O16" s="3" t="n">
        <v>1.1886</v>
      </c>
      <c r="P16" s="3" t="n">
        <v>2.0503</v>
      </c>
      <c r="Q16" s="3" t="n">
        <v>1.3708</v>
      </c>
      <c r="R16" s="3" t="n">
        <v>1.868</v>
      </c>
      <c r="S16" s="3" t="n">
        <v>1.9241</v>
      </c>
      <c r="T16" s="3" t="n">
        <v>1.8219</v>
      </c>
      <c r="U16" s="3" t="n">
        <v>1.9074</v>
      </c>
      <c r="V16" s="3" t="n">
        <v>1.4931</v>
      </c>
      <c r="W16" s="3">
        <f>AVERAGE(C16:V16)</f>
        <v/>
      </c>
      <c r="X16" s="3">
        <f>STDEV.S(C16:V16)</f>
        <v/>
      </c>
      <c r="Y16" s="3">
        <f>IFERROR(X16/ABS(W16)*100,"")</f>
        <v/>
      </c>
      <c r="Z16" s="3">
        <f>MIN(C16:V16)</f>
        <v/>
      </c>
      <c r="AA16" s="3">
        <f>MAX(C16:V16)</f>
        <v/>
      </c>
    </row>
    <row r="17">
      <c r="A17" t="inlineStr">
        <is>
          <t>Station dropout</t>
        </is>
      </c>
      <c r="B17" t="inlineStr">
        <is>
          <t>Peak Shift Score</t>
        </is>
      </c>
      <c r="C17" s="3" t="n">
        <v>0.2608</v>
      </c>
      <c r="D17" s="3" t="n">
        <v>0.2824</v>
      </c>
      <c r="E17" s="3" t="n">
        <v>0.2581</v>
      </c>
      <c r="F17" s="3" t="n">
        <v>0.2784</v>
      </c>
      <c r="G17" s="3" t="n">
        <v>0.2615</v>
      </c>
      <c r="H17" s="3" t="n">
        <v>0.2581</v>
      </c>
      <c r="I17" s="3" t="n">
        <v>0.2735</v>
      </c>
      <c r="J17" s="3" t="n">
        <v>0.2569</v>
      </c>
      <c r="K17" s="3" t="n">
        <v>0.2585</v>
      </c>
      <c r="L17" s="3" t="n">
        <v>0.3179</v>
      </c>
      <c r="M17" s="3" t="n">
        <v>0.2652</v>
      </c>
      <c r="N17" s="3" t="n">
        <v>0.2847</v>
      </c>
      <c r="O17" s="3" t="n">
        <v>0.2606</v>
      </c>
      <c r="P17" s="3" t="n">
        <v>0.2959</v>
      </c>
      <c r="Q17" s="3" t="n">
        <v>0.3039</v>
      </c>
      <c r="R17" s="3" t="n">
        <v>0.2752</v>
      </c>
      <c r="S17" s="3" t="n">
        <v>0.2701</v>
      </c>
      <c r="T17" s="3" t="n">
        <v>0.2631</v>
      </c>
      <c r="U17" s="3" t="n">
        <v>0.2618</v>
      </c>
      <c r="V17" s="3" t="n">
        <v>0.2396</v>
      </c>
      <c r="W17" s="3">
        <f>AVERAGE(C17:V17)</f>
        <v/>
      </c>
      <c r="X17" s="3">
        <f>STDEV.S(C17:V17)</f>
        <v/>
      </c>
      <c r="Y17" s="3">
        <f>IFERROR(X17/ABS(W17)*100,"")</f>
        <v/>
      </c>
      <c r="Z17" s="3">
        <f>MIN(C17:V17)</f>
        <v/>
      </c>
      <c r="AA17" s="3">
        <f>MAX(C17:V17)</f>
        <v/>
      </c>
    </row>
    <row r="18">
      <c r="A18" t="inlineStr">
        <is>
          <t>Simultaneous sensor failure</t>
        </is>
      </c>
      <c r="B18" t="inlineStr">
        <is>
          <t>Detection Rate (%)</t>
        </is>
      </c>
      <c r="C18" s="3" t="n">
        <v>97.4181</v>
      </c>
      <c r="D18" s="3" t="n">
        <v>99.0145</v>
      </c>
      <c r="E18" s="3" t="n">
        <v>97.8254</v>
      </c>
      <c r="F18" s="3" t="n">
        <v>96.9705</v>
      </c>
      <c r="G18" s="3" t="n">
        <v>95.4842</v>
      </c>
      <c r="H18" s="3" t="n">
        <v>96.9696</v>
      </c>
      <c r="I18" s="3" t="n">
        <v>97.2283</v>
      </c>
      <c r="J18" s="3" t="n">
        <v>97.9331</v>
      </c>
      <c r="K18" s="3" t="n">
        <v>98.0091</v>
      </c>
      <c r="L18" s="3" t="n">
        <v>95.4808</v>
      </c>
      <c r="M18" s="3" t="n">
        <v>96.8471</v>
      </c>
      <c r="N18" s="3" t="n">
        <v>99.9265</v>
      </c>
      <c r="O18" s="3" t="n">
        <v>99.16030000000001</v>
      </c>
      <c r="P18" s="3" t="n">
        <v>98.54649999999999</v>
      </c>
      <c r="Q18" s="3" t="n">
        <v>96.52979999999999</v>
      </c>
      <c r="R18" s="3" t="n">
        <v>98.91379999999999</v>
      </c>
      <c r="S18" s="3" t="n">
        <v>100.1443</v>
      </c>
      <c r="T18" s="3" t="n">
        <v>99.5973</v>
      </c>
      <c r="U18" s="3" t="n">
        <v>98.8747</v>
      </c>
      <c r="V18" s="3" t="n">
        <v>98.8712</v>
      </c>
      <c r="W18" s="3">
        <f>AVERAGE(C18:V18)</f>
        <v/>
      </c>
      <c r="X18" s="3">
        <f>STDEV.S(C18:V18)</f>
        <v/>
      </c>
      <c r="Y18" s="3">
        <f>IFERROR(X18/ABS(W18)*100,"")</f>
        <v/>
      </c>
      <c r="Z18" s="3">
        <f>MIN(C18:V18)</f>
        <v/>
      </c>
      <c r="AA18" s="3">
        <f>MAX(C18:V18)</f>
        <v/>
      </c>
    </row>
    <row r="19">
      <c r="A19" t="inlineStr">
        <is>
          <t>Simultaneous sensor failure</t>
        </is>
      </c>
      <c r="B19" t="inlineStr">
        <is>
          <t>False-Positive Rate (%)</t>
        </is>
      </c>
      <c r="C19" s="3" t="n">
        <v>5.6378</v>
      </c>
      <c r="D19" s="3" t="n">
        <v>3.5128</v>
      </c>
      <c r="E19" s="3" t="n">
        <v>5.7116</v>
      </c>
      <c r="F19" s="3" t="n">
        <v>4.868</v>
      </c>
      <c r="G19" s="3" t="n">
        <v>5.1587</v>
      </c>
      <c r="H19" s="3" t="n">
        <v>4.905</v>
      </c>
      <c r="I19" s="3" t="n">
        <v>3.9862</v>
      </c>
      <c r="J19" s="3" t="n">
        <v>3.255</v>
      </c>
      <c r="K19" s="3" t="n">
        <v>4.5279</v>
      </c>
      <c r="L19" s="3" t="n">
        <v>5.2212</v>
      </c>
      <c r="M19" s="3" t="n">
        <v>6.171</v>
      </c>
      <c r="N19" s="3" t="n">
        <v>5.5138</v>
      </c>
      <c r="O19" s="3" t="n">
        <v>4.3005</v>
      </c>
      <c r="P19" s="3" t="n">
        <v>4.8183</v>
      </c>
      <c r="Q19" s="3" t="n">
        <v>4.1732</v>
      </c>
      <c r="R19" s="3" t="n">
        <v>5.0961</v>
      </c>
      <c r="S19" s="3" t="n">
        <v>4.4983</v>
      </c>
      <c r="T19" s="3" t="n">
        <v>4.2829</v>
      </c>
      <c r="U19" s="3" t="n">
        <v>4.5962</v>
      </c>
      <c r="V19" s="3" t="n">
        <v>4.8391</v>
      </c>
      <c r="W19" s="3">
        <f>AVERAGE(C19:V19)</f>
        <v/>
      </c>
      <c r="X19" s="3">
        <f>STDEV.S(C19:V19)</f>
        <v/>
      </c>
      <c r="Y19" s="3">
        <f>IFERROR(X19/ABS(W19)*100,"")</f>
        <v/>
      </c>
      <c r="Z19" s="3">
        <f>MIN(C19:V19)</f>
        <v/>
      </c>
      <c r="AA19" s="3">
        <f>MAX(C19:V19)</f>
        <v/>
      </c>
    </row>
    <row r="20">
      <c r="A20" t="inlineStr">
        <is>
          <t>Simultaneous sensor failure</t>
        </is>
      </c>
      <c r="B20" t="inlineStr">
        <is>
          <t>Detection Delay (h)</t>
        </is>
      </c>
      <c r="C20" s="3" t="n">
        <v>0.451</v>
      </c>
      <c r="D20" s="3" t="n">
        <v>0.8541</v>
      </c>
      <c r="E20" s="3" t="n">
        <v>1.4998</v>
      </c>
      <c r="F20" s="3" t="n">
        <v>0.8134</v>
      </c>
      <c r="G20" s="3" t="n">
        <v>0.9301</v>
      </c>
      <c r="H20" s="3" t="n">
        <v>0.9176</v>
      </c>
      <c r="I20" s="3" t="n">
        <v>0.859</v>
      </c>
      <c r="J20" s="3" t="n">
        <v>0.6986</v>
      </c>
      <c r="K20" s="3" t="n">
        <v>1.179</v>
      </c>
      <c r="L20" s="3" t="n">
        <v>1.0417</v>
      </c>
      <c r="M20" s="3" t="n">
        <v>1.5161</v>
      </c>
      <c r="N20" s="3" t="n">
        <v>0.8416</v>
      </c>
      <c r="O20" s="3" t="n">
        <v>1.1938</v>
      </c>
      <c r="P20" s="3" t="n">
        <v>1.3324</v>
      </c>
      <c r="Q20" s="3" t="n">
        <v>1.2303</v>
      </c>
      <c r="R20" s="3" t="n">
        <v>1.2346</v>
      </c>
      <c r="S20" s="3" t="n">
        <v>1.0579</v>
      </c>
      <c r="T20" s="3" t="n">
        <v>1.7005</v>
      </c>
      <c r="U20" s="3" t="n">
        <v>1.1287</v>
      </c>
      <c r="V20" s="3" t="n">
        <v>1.4876</v>
      </c>
      <c r="W20" s="3">
        <f>AVERAGE(C20:V20)</f>
        <v/>
      </c>
      <c r="X20" s="3">
        <f>STDEV.S(C20:V20)</f>
        <v/>
      </c>
      <c r="Y20" s="3">
        <f>IFERROR(X20/ABS(W20)*100,"")</f>
        <v/>
      </c>
      <c r="Z20" s="3">
        <f>MIN(C20:V20)</f>
        <v/>
      </c>
      <c r="AA20" s="3">
        <f>MAX(C20:V20)</f>
        <v/>
      </c>
    </row>
    <row r="21">
      <c r="A21" t="inlineStr">
        <is>
          <t>Simultaneous sensor failure</t>
        </is>
      </c>
      <c r="B21" t="inlineStr">
        <is>
          <t>Peak Shift Score</t>
        </is>
      </c>
      <c r="C21" s="3" t="n">
        <v>0.3059</v>
      </c>
      <c r="D21" s="3" t="n">
        <v>0.2957</v>
      </c>
      <c r="E21" s="3" t="n">
        <v>0.2989</v>
      </c>
      <c r="F21" s="3" t="n">
        <v>0.2665</v>
      </c>
      <c r="G21" s="3" t="n">
        <v>0.2857</v>
      </c>
      <c r="H21" s="3" t="n">
        <v>0.2888</v>
      </c>
      <c r="I21" s="3" t="n">
        <v>0.2791</v>
      </c>
      <c r="J21" s="3" t="n">
        <v>0.2967</v>
      </c>
      <c r="K21" s="3" t="n">
        <v>0.2936</v>
      </c>
      <c r="L21" s="3" t="n">
        <v>0.2849</v>
      </c>
      <c r="M21" s="3" t="n">
        <v>0.2713</v>
      </c>
      <c r="N21" s="3" t="n">
        <v>0.3101</v>
      </c>
      <c r="O21" s="3" t="n">
        <v>0.2961</v>
      </c>
      <c r="P21" s="3" t="n">
        <v>0.3177</v>
      </c>
      <c r="Q21" s="3" t="n">
        <v>0.2847</v>
      </c>
      <c r="R21" s="3" t="n">
        <v>0.2726</v>
      </c>
      <c r="S21" s="3" t="n">
        <v>0.3314</v>
      </c>
      <c r="T21" s="3" t="n">
        <v>0.3241</v>
      </c>
      <c r="U21" s="3" t="n">
        <v>0.2721</v>
      </c>
      <c r="V21" s="3" t="n">
        <v>0.2943</v>
      </c>
      <c r="W21" s="3">
        <f>AVERAGE(C21:V21)</f>
        <v/>
      </c>
      <c r="X21" s="3">
        <f>STDEV.S(C21:V21)</f>
        <v/>
      </c>
      <c r="Y21" s="3">
        <f>IFERROR(X21/ABS(W21)*100,"")</f>
        <v/>
      </c>
      <c r="Z21" s="3">
        <f>MIN(C21:V21)</f>
        <v/>
      </c>
      <c r="AA21" s="3">
        <f>MAX(C21:V21)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2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s="4" t="inlineStr">
        <is>
          <t>Perturbation</t>
        </is>
      </c>
      <c r="B1" s="4" t="inlineStr">
        <is>
          <t>Detection Rate (%)</t>
        </is>
      </c>
      <c r="C1" s="4" t="inlineStr">
        <is>
          <t>False-Positive Rate (%)</t>
        </is>
      </c>
      <c r="D1" s="4" t="inlineStr">
        <is>
          <t>Detection Delay (h)</t>
        </is>
      </c>
      <c r="E1" s="4" t="inlineStr">
        <is>
          <t>Peak Shift Score</t>
        </is>
      </c>
    </row>
    <row r="2">
      <c r="A2" t="inlineStr">
        <is>
          <t>Missing modality</t>
        </is>
      </c>
      <c r="B2">
        <f>TEXT(SIMULATED_DEMO!W2,"0.00")&amp;" ± "&amp;TEXT(SIMULATED_DEMO!X2,"0.00")</f>
        <v/>
      </c>
      <c r="C2">
        <f>TEXT(SIMULATED_DEMO!W3,"0.00")&amp;" ± "&amp;TEXT(SIMULATED_DEMO!X3,"0.00")</f>
        <v/>
      </c>
      <c r="D2">
        <f>TEXT(SIMULATED_DEMO!W4,"0.00")&amp;" ± "&amp;TEXT(SIMULATED_DEMO!X4,"0.00")</f>
        <v/>
      </c>
      <c r="E2">
        <f>TEXT(SIMULATED_DEMO!W5,"0.000")&amp;" ± "&amp;TEXT(SIMULATED_DEMO!X5,"0.000")</f>
        <v/>
      </c>
    </row>
    <row r="3">
      <c r="A3" t="inlineStr">
        <is>
          <t>Timestamp jitter</t>
        </is>
      </c>
      <c r="B3">
        <f>TEXT(SIMULATED_DEMO!W6,"0.00")&amp;" ± "&amp;TEXT(SIMULATED_DEMO!X6,"0.00")</f>
        <v/>
      </c>
      <c r="C3">
        <f>TEXT(SIMULATED_DEMO!W7,"0.00")&amp;" ± "&amp;TEXT(SIMULATED_DEMO!X7,"0.00")</f>
        <v/>
      </c>
      <c r="D3">
        <f>TEXT(SIMULATED_DEMO!W8,"0.00")&amp;" ± "&amp;TEXT(SIMULATED_DEMO!X8,"0.00")</f>
        <v/>
      </c>
      <c r="E3">
        <f>TEXT(SIMULATED_DEMO!W9,"0.000")&amp;" ± "&amp;TEXT(SIMULATED_DEMO!X9,"0.000")</f>
        <v/>
      </c>
    </row>
    <row r="4">
      <c r="A4" t="inlineStr">
        <is>
          <t>Sampling-frequency shift</t>
        </is>
      </c>
      <c r="B4">
        <f>TEXT(SIMULATED_DEMO!W10,"0.00")&amp;" ± "&amp;TEXT(SIMULATED_DEMO!X10,"0.00")</f>
        <v/>
      </c>
      <c r="C4">
        <f>TEXT(SIMULATED_DEMO!W11,"0.00")&amp;" ± "&amp;TEXT(SIMULATED_DEMO!X11,"0.00")</f>
        <v/>
      </c>
      <c r="D4">
        <f>TEXT(SIMULATED_DEMO!W12,"0.00")&amp;" ± "&amp;TEXT(SIMULATED_DEMO!X12,"0.00")</f>
        <v/>
      </c>
      <c r="E4">
        <f>TEXT(SIMULATED_DEMO!W13,"0.000")&amp;" ± "&amp;TEXT(SIMULATED_DEMO!X13,"0.000")</f>
        <v/>
      </c>
    </row>
    <row r="5">
      <c r="A5" t="inlineStr">
        <is>
          <t>Station dropout</t>
        </is>
      </c>
      <c r="B5">
        <f>TEXT(SIMULATED_DEMO!W14,"0.00")&amp;" ± "&amp;TEXT(SIMULATED_DEMO!X14,"0.00")</f>
        <v/>
      </c>
      <c r="C5">
        <f>TEXT(SIMULATED_DEMO!W15,"0.00")&amp;" ± "&amp;TEXT(SIMULATED_DEMO!X15,"0.00")</f>
        <v/>
      </c>
      <c r="D5">
        <f>TEXT(SIMULATED_DEMO!W16,"0.00")&amp;" ± "&amp;TEXT(SIMULATED_DEMO!X16,"0.00")</f>
        <v/>
      </c>
      <c r="E5">
        <f>TEXT(SIMULATED_DEMO!W17,"0.000")&amp;" ± "&amp;TEXT(SIMULATED_DEMO!X17,"0.000")</f>
        <v/>
      </c>
    </row>
    <row r="6">
      <c r="A6" t="inlineStr">
        <is>
          <t>Simultaneous sensor failure</t>
        </is>
      </c>
      <c r="B6">
        <f>TEXT(SIMULATED_DEMO!W18,"0.00")&amp;" ± "&amp;TEXT(SIMULATED_DEMO!X18,"0.00")</f>
        <v/>
      </c>
      <c r="C6">
        <f>TEXT(SIMULATED_DEMO!W19,"0.00")&amp;" ± "&amp;TEXT(SIMULATED_DEMO!X19,"0.00")</f>
        <v/>
      </c>
      <c r="D6">
        <f>TEXT(SIMULATED_DEMO!W20,"0.00")&amp;" ± "&amp;TEXT(SIMULATED_DEMO!X20,"0.00")</f>
        <v/>
      </c>
      <c r="E6">
        <f>TEXT(SIMULATED_DEMO!W21,"0.000")&amp;" ± "&amp;TEXT(SIMULATED_DEMO!X21,"0.000")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2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s="4" t="inlineStr">
        <is>
          <t>Perturbation</t>
        </is>
      </c>
      <c r="B1" s="4" t="inlineStr">
        <is>
          <t>Detection Rate (%)</t>
        </is>
      </c>
      <c r="C1" s="4" t="inlineStr">
        <is>
          <t>False-Positive Rate (%)</t>
        </is>
      </c>
      <c r="D1" s="4" t="inlineStr">
        <is>
          <t>Detection Delay (h)</t>
        </is>
      </c>
      <c r="E1" s="4" t="inlineStr">
        <is>
          <t>Peak Shift Score</t>
        </is>
      </c>
    </row>
    <row r="2">
      <c r="A2" t="inlineStr">
        <is>
          <t>Missing modality</t>
        </is>
      </c>
      <c r="B2" t="inlineStr">
        <is>
          <t>91.5 ± 2.7</t>
        </is>
      </c>
      <c r="C2" t="inlineStr">
        <is>
          <t>4.8 ± 0.9</t>
        </is>
      </c>
      <c r="D2" t="inlineStr">
        <is>
          <t>2.4 ± 0.6</t>
        </is>
      </c>
      <c r="E2" t="inlineStr">
        <is>
          <t>0.238 ± 0.012</t>
        </is>
      </c>
    </row>
    <row r="3">
      <c r="A3" t="inlineStr">
        <is>
          <t>Timestamp jitter</t>
        </is>
      </c>
      <c r="B3" t="inlineStr">
        <is>
          <t>87.0 ± 3.1</t>
        </is>
      </c>
      <c r="C3" t="inlineStr">
        <is>
          <t>4.8 ± 0.9</t>
        </is>
      </c>
      <c r="D3" t="inlineStr">
        <is>
          <t>3.1 ± 0.7</t>
        </is>
      </c>
      <c r="E3" t="inlineStr">
        <is>
          <t>0.226 ± 0.010</t>
        </is>
      </c>
    </row>
    <row r="4">
      <c r="A4" t="inlineStr">
        <is>
          <t>Sampling-frequency shift</t>
        </is>
      </c>
      <c r="B4" t="inlineStr">
        <is>
          <t>93.0 ± 2.4</t>
        </is>
      </c>
      <c r="C4" t="inlineStr">
        <is>
          <t>4.8 ± 0.9</t>
        </is>
      </c>
      <c r="D4" t="inlineStr">
        <is>
          <t>2.0 ± 0.5</t>
        </is>
      </c>
      <c r="E4" t="inlineStr">
        <is>
          <t>0.247 ± 0.013</t>
        </is>
      </c>
    </row>
    <row r="5">
      <c r="A5" t="inlineStr">
        <is>
          <t>Station dropout</t>
        </is>
      </c>
      <c r="B5" t="inlineStr">
        <is>
          <t>96.5 ± 1.8</t>
        </is>
      </c>
      <c r="C5" t="inlineStr">
        <is>
          <t>4.8 ± 0.9</t>
        </is>
      </c>
      <c r="D5" t="inlineStr">
        <is>
          <t>1.5 ± 0.4</t>
        </is>
      </c>
      <c r="E5" t="inlineStr">
        <is>
          <t>0.271 ± 0.015</t>
        </is>
      </c>
    </row>
    <row r="6">
      <c r="A6" t="inlineStr">
        <is>
          <t>Simultaneous sensor failure</t>
        </is>
      </c>
      <c r="B6" t="inlineStr">
        <is>
          <t>98.0 ± 1.2</t>
        </is>
      </c>
      <c r="C6" t="inlineStr">
        <is>
          <t>4.8 ± 0.9</t>
        </is>
      </c>
      <c r="D6" t="inlineStr">
        <is>
          <t>1.1 ± 0.3</t>
        </is>
      </c>
      <c r="E6" t="inlineStr">
        <is>
          <t>0.294 ± 0.017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105" customWidth="1" min="2" max="2"/>
  </cols>
  <sheetData>
    <row r="1">
      <c r="A1" s="5" t="inlineStr">
        <is>
          <t>Table 9 — simulated 20-run workbook</t>
        </is>
      </c>
      <c r="B1" s="6" t="n"/>
    </row>
    <row r="2">
      <c r="A2" s="6" t="n"/>
      <c r="B2" s="6" t="n"/>
    </row>
    <row r="3">
      <c r="A3" s="6" t="inlineStr">
        <is>
          <t>Table identity</t>
        </is>
      </c>
      <c r="B3" s="6" t="inlineStr">
        <is>
          <t>Detection performance for controlled distribution changes with known onset times.</t>
        </is>
      </c>
    </row>
    <row r="4">
      <c r="A4" s="6" t="inlineStr">
        <is>
          <t>Perturbations</t>
        </is>
      </c>
      <c r="B4" s="6" t="inlineStr">
        <is>
          <t>Missing modality, timestamp jitter, sampling-frequency shift, station dropout, simultaneous sensor failure.</t>
        </is>
      </c>
    </row>
    <row r="5">
      <c r="A5" s="6" t="inlineStr">
        <is>
          <t>Measures</t>
        </is>
      </c>
      <c r="B5" s="6" t="inlineStr">
        <is>
          <t>Detection Rate, False-Positive Rate, Detection Delay, and Peak Shift Score.</t>
        </is>
      </c>
    </row>
    <row r="6">
      <c r="A6" s="6" t="inlineStr">
        <is>
          <t>Reference</t>
        </is>
      </c>
      <c r="B6" s="6" t="inlineStr">
        <is>
          <t>Manuscript_Reference preserves the exact values reported in Table IX of the current manuscript.</t>
        </is>
      </c>
    </row>
    <row r="7">
      <c r="A7" s="6" t="inlineStr">
        <is>
          <t>Status</t>
        </is>
      </c>
      <c r="B7" s="6" t="inlineStr">
        <is>
          <t>Run 1–Run 20 values are synthetic demo values centered near those reported values.</t>
        </is>
      </c>
    </row>
    <row r="8">
      <c r="A8" s="6" t="inlineStr">
        <is>
          <t>SD formula</t>
        </is>
      </c>
      <c r="B8" s="6">
        <f>STDEV.S(C2:V2)</f>
        <v/>
      </c>
    </row>
    <row r="9">
      <c r="A9" s="6" t="inlineStr">
        <is>
          <t>Important</t>
        </is>
      </c>
      <c r="B9" s="6" t="inlineStr">
        <is>
          <t>Replace synthetic values with actual run outputs before treating run-level results as experimental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2026-09-26T17:45:53Z</dcterms:created>
  <dcterms:modified xmlns:dcterms="http://purl.org/dc/terms/" xmlns:xsi="http://www.w3.org/2001/XMLSchema-instance" xsi:type="dcterms:W3CDTF">2026-09-26T17:45:53Z</dcterms:modified>
</cp:coreProperties>
</file>