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Work\1. Research Projects\April 2025 - March 2026\98. Historical-to-Live Forecasting for Building and Environmental Sensing with Shared–Private Continual Learning\result_tables\"/>
    </mc:Choice>
  </mc:AlternateContent>
  <xr:revisionPtr revIDLastSave="0" documentId="13_ncr:1_{2EDE73C1-66FC-4B3D-9F5D-5A28963E8EA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ults_Table9" sheetId="1" r:id="rId1"/>
    <sheet name="Table9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" i="1"/>
  <c r="AA21" i="1"/>
  <c r="Z21" i="1"/>
  <c r="W21" i="1"/>
  <c r="AA20" i="1"/>
  <c r="Z20" i="1"/>
  <c r="W20" i="1"/>
  <c r="AA19" i="1"/>
  <c r="Z19" i="1"/>
  <c r="W19" i="1"/>
  <c r="AA18" i="1"/>
  <c r="Z18" i="1"/>
  <c r="W18" i="1"/>
  <c r="B6" i="2" s="1"/>
  <c r="AA17" i="1"/>
  <c r="Z17" i="1"/>
  <c r="W17" i="1"/>
  <c r="AA16" i="1"/>
  <c r="Z16" i="1"/>
  <c r="Y16" i="1"/>
  <c r="W16" i="1"/>
  <c r="AA15" i="1"/>
  <c r="Z15" i="1"/>
  <c r="W15" i="1"/>
  <c r="AA14" i="1"/>
  <c r="Z14" i="1"/>
  <c r="Y14" i="1"/>
  <c r="W14" i="1"/>
  <c r="B5" i="2" s="1"/>
  <c r="AA13" i="1"/>
  <c r="Z13" i="1"/>
  <c r="W13" i="1"/>
  <c r="E4" i="2" s="1"/>
  <c r="AA12" i="1"/>
  <c r="Z12" i="1"/>
  <c r="W12" i="1"/>
  <c r="AA11" i="1"/>
  <c r="Z11" i="1"/>
  <c r="W11" i="1"/>
  <c r="C4" i="2" s="1"/>
  <c r="AA10" i="1"/>
  <c r="Z10" i="1"/>
  <c r="Y10" i="1"/>
  <c r="W10" i="1"/>
  <c r="B4" i="2" s="1"/>
  <c r="AA9" i="1"/>
  <c r="Z9" i="1"/>
  <c r="Y9" i="1"/>
  <c r="W9" i="1"/>
  <c r="AA8" i="1"/>
  <c r="Z8" i="1"/>
  <c r="W8" i="1"/>
  <c r="D3" i="2" s="1"/>
  <c r="AA7" i="1"/>
  <c r="Z7" i="1"/>
  <c r="Y7" i="1"/>
  <c r="W7" i="1"/>
  <c r="AA6" i="1"/>
  <c r="Z6" i="1"/>
  <c r="W6" i="1"/>
  <c r="B3" i="2" s="1"/>
  <c r="AA5" i="1"/>
  <c r="Z5" i="1"/>
  <c r="W5" i="1"/>
  <c r="AA4" i="1"/>
  <c r="Z4" i="1"/>
  <c r="W4" i="1"/>
  <c r="D2" i="2" s="1"/>
  <c r="AA3" i="1"/>
  <c r="Z3" i="1"/>
  <c r="W3" i="1"/>
  <c r="C2" i="2" s="1"/>
  <c r="AA2" i="1"/>
  <c r="Z2" i="1"/>
  <c r="W2" i="1"/>
  <c r="Y18" i="1" l="1"/>
  <c r="D5" i="2"/>
  <c r="Y12" i="1"/>
  <c r="Y8" i="1"/>
  <c r="Y6" i="1"/>
  <c r="Y5" i="1"/>
  <c r="Y4" i="1"/>
  <c r="Y3" i="1"/>
  <c r="Y17" i="1"/>
  <c r="Y15" i="1"/>
  <c r="Y13" i="1"/>
  <c r="Y11" i="1"/>
  <c r="Y2" i="1"/>
  <c r="C5" i="2"/>
  <c r="D4" i="2"/>
  <c r="E2" i="2"/>
  <c r="E5" i="2"/>
  <c r="E3" i="2"/>
  <c r="C3" i="2"/>
  <c r="B2" i="2"/>
  <c r="Y21" i="1"/>
  <c r="E6" i="2"/>
  <c r="D6" i="2"/>
  <c r="Y20" i="1"/>
  <c r="Y19" i="1"/>
  <c r="C6" i="2"/>
</calcChain>
</file>

<file path=xl/sharedStrings.xml><?xml version="1.0" encoding="utf-8"?>
<sst xmlns="http://schemas.openxmlformats.org/spreadsheetml/2006/main" count="77" uniqueCount="36">
  <si>
    <t>Perturbation</t>
  </si>
  <si>
    <t>Metric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</si>
  <si>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</si>
  <si>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</si>
  <si>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</si>
  <si>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</si>
  <si>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</si>
  <si>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</si>
  <si>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</si>
  <si>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</si>
  <si>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</si>
  <si>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</si>
  <si>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</si>
  <si>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</si>
  <si>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</si>
  <si>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</si>
  <si>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</si>
  <si>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</si>
  <si>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</si>
  <si>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</si>
  <si>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</si>
  <si>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</si>
  <si>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Mean</t>
  </si>
  <si>
    <t>SD</t>
  </si>
  <si>
    <t>CV (%)</t>
  </si>
  <si>
    <t>Min</t>
  </si>
  <si>
    <t>Max</t>
  </si>
  <si>
    <t>Missing modality</t>
  </si>
  <si>
    <t>Detection Rate (%)</t>
  </si>
  <si>
    <t>False-Positive Rate (%)</t>
  </si>
  <si>
    <t>Detection Delay (h)</t>
  </si>
  <si>
    <t>Peak Shift Score</t>
  </si>
  <si>
    <t>Timestamp jitter</t>
  </si>
  <si>
    <t>Sampling-frequency shift</t>
  </si>
  <si>
    <t>Station dropout</t>
  </si>
  <si>
    <t>Simultaneous sensor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</si>
</sst>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tabSelected="1" workbookViewId="0">
      <pane xSplit="2" ySplit="1" topLeftCell="N2" activePane="bottomRight" state="frozen"/>
      <selection pane="topRight"/>
      <selection pane="bottomLeft"/>
      <selection pane="bottomRight" activeCell="V11" sqref="V11"/>
    </sheetView>
  </sheetViews>
  <sheetFormatPr defaultRowHeight="15" x14ac:dyDescent="0.25"/>
  <cols>
    <col min="1" max="1" width="32" customWidth="1"/>
    <col min="2" max="2" width="24" customWidth="1"/>
    <col min="3" max="27" width="1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s="2">
        <v>90.563100000000006</v>
      </c>
      <c r="D2" s="2">
        <v>89.906099999999995</v>
      </c>
      <c r="E2" s="2">
        <v>92.478499999999997</v>
      </c>
      <c r="F2" s="2">
        <v>88.791399999999996</v>
      </c>
      <c r="G2" s="2">
        <v>91.030100000000004</v>
      </c>
      <c r="H2" s="2">
        <v>94.635499999999993</v>
      </c>
      <c r="I2" s="2">
        <v>91.498199999999997</v>
      </c>
      <c r="J2" s="2">
        <v>94.380399999999995</v>
      </c>
      <c r="K2" s="2">
        <v>94.047499999999999</v>
      </c>
      <c r="L2" s="2">
        <v>94.436999999999998</v>
      </c>
      <c r="M2" s="2">
        <v>88.992999999999995</v>
      </c>
      <c r="N2" s="2">
        <v>96.591099999999997</v>
      </c>
      <c r="O2" s="2">
        <v>86.721800000000002</v>
      </c>
      <c r="P2" s="2">
        <v>88.448599999999999</v>
      </c>
      <c r="Q2" s="2">
        <v>89.322800000000001</v>
      </c>
      <c r="R2" s="2">
        <v>93.923500000000004</v>
      </c>
      <c r="S2" s="2">
        <v>94.857500000000002</v>
      </c>
      <c r="T2" s="2">
        <v>90.179000000000002</v>
      </c>
      <c r="U2" s="2">
        <v>89.085700000000003</v>
      </c>
      <c r="V2" s="2">
        <v>89.784499999999994</v>
      </c>
      <c r="W2" s="2">
        <f t="shared" ref="W2:W21" si="0">AVERAGE(C2:V2)</f>
        <v>91.48376500000002</v>
      </c>
      <c r="X2" s="2">
        <f>_xlfn.STDEV.S(C2:V2)</f>
        <v>2.7330469975497653</v>
      </c>
      <c r="Y2" s="2">
        <f t="shared" ref="Y2:Y21" si="1">IFERROR(X2/ABS(W2)*100,"")</f>
        <v>2.9874666806178829</v>
      </c>
      <c r="Z2" s="2">
        <f t="shared" ref="Z2:Z21" si="2">MIN(C2:V2)</f>
        <v>86.721800000000002</v>
      </c>
      <c r="AA2" s="2">
        <f t="shared" ref="AA2:AA21" si="3">MAX(C2:V2)</f>
        <v>96.591099999999997</v>
      </c>
    </row>
    <row r="3" spans="1:27" x14ac:dyDescent="0.25">
      <c r="A3" t="s">
        <v>27</v>
      </c>
      <c r="B3" t="s">
        <v>29</v>
      </c>
      <c r="C3" s="2">
        <v>3.4980000000000002</v>
      </c>
      <c r="D3" s="2">
        <v>3.7067999999999999</v>
      </c>
      <c r="E3" s="2">
        <v>3.3607</v>
      </c>
      <c r="F3" s="2">
        <v>4.4988999999999999</v>
      </c>
      <c r="G3" s="2">
        <v>4.8490000000000002</v>
      </c>
      <c r="H3" s="2">
        <v>5.6676000000000002</v>
      </c>
      <c r="I3" s="2">
        <v>6.0072999999999999</v>
      </c>
      <c r="J3" s="2">
        <v>5.9130000000000003</v>
      </c>
      <c r="K3" s="2">
        <v>4.4038000000000004</v>
      </c>
      <c r="L3" s="2">
        <v>4.6921999999999997</v>
      </c>
      <c r="M3" s="2">
        <v>4.7312000000000003</v>
      </c>
      <c r="N3" s="2">
        <v>5.0928000000000004</v>
      </c>
      <c r="O3" s="2">
        <v>2.8641000000000001</v>
      </c>
      <c r="P3" s="2">
        <v>5.7039999999999997</v>
      </c>
      <c r="Q3" s="2">
        <v>6.0395000000000003</v>
      </c>
      <c r="R3" s="2">
        <v>4.5037000000000003</v>
      </c>
      <c r="S3" s="2">
        <v>6.1094999999999997</v>
      </c>
      <c r="T3" s="2">
        <v>4.5506000000000002</v>
      </c>
      <c r="U3" s="2">
        <v>4.0415000000000001</v>
      </c>
      <c r="V3" s="2">
        <v>5.2287999999999997</v>
      </c>
      <c r="W3" s="2">
        <f t="shared" si="0"/>
        <v>4.7731499999999993</v>
      </c>
      <c r="X3" s="2">
        <f t="shared" ref="X3:X21" si="4">_xlfn.STDEV.S(C3:V3)</f>
        <v>0.95899926321249784</v>
      </c>
      <c r="Y3" s="2">
        <f t="shared" si="1"/>
        <v>20.091538359626202</v>
      </c>
      <c r="Z3" s="2">
        <f t="shared" si="2"/>
        <v>2.8641000000000001</v>
      </c>
      <c r="AA3" s="2">
        <f t="shared" si="3"/>
        <v>6.1094999999999997</v>
      </c>
    </row>
    <row r="4" spans="1:27" x14ac:dyDescent="0.25">
      <c r="A4" t="s">
        <v>27</v>
      </c>
      <c r="B4" t="s">
        <v>30</v>
      </c>
      <c r="C4" s="2">
        <v>2.7852999999999999</v>
      </c>
      <c r="D4" s="2">
        <v>1.8188</v>
      </c>
      <c r="E4" s="2">
        <v>3.0611999999999999</v>
      </c>
      <c r="F4" s="2">
        <v>1.8489</v>
      </c>
      <c r="G4" s="2">
        <v>2.4089999999999998</v>
      </c>
      <c r="H4" s="2">
        <v>2.2570999999999999</v>
      </c>
      <c r="I4" s="2">
        <v>1.8858999999999999</v>
      </c>
      <c r="J4" s="2">
        <v>1.9448000000000001</v>
      </c>
      <c r="K4" s="2">
        <v>2.3096999999999999</v>
      </c>
      <c r="L4" s="2">
        <v>1.8078000000000001</v>
      </c>
      <c r="M4" s="2">
        <v>2.6522999999999999</v>
      </c>
      <c r="N4" s="2">
        <v>2.3052000000000001</v>
      </c>
      <c r="O4" s="2">
        <v>2.7705000000000002</v>
      </c>
      <c r="P4" s="2">
        <v>3.3957000000000002</v>
      </c>
      <c r="Q4" s="2">
        <v>2.6692999999999998</v>
      </c>
      <c r="R4" s="2">
        <v>2.7562000000000002</v>
      </c>
      <c r="S4" s="2">
        <v>3.0697999999999999</v>
      </c>
      <c r="T4" s="2">
        <v>2.3429000000000002</v>
      </c>
      <c r="U4" s="2">
        <v>2.5613000000000001</v>
      </c>
      <c r="V4" s="2">
        <v>1.0780000000000001</v>
      </c>
      <c r="W4" s="2">
        <f t="shared" si="0"/>
        <v>2.3864850000000004</v>
      </c>
      <c r="X4" s="2">
        <f t="shared" si="4"/>
        <v>0.54775529522531063</v>
      </c>
      <c r="Y4" s="2">
        <f t="shared" si="1"/>
        <v>22.95238793561705</v>
      </c>
      <c r="Z4" s="2">
        <f t="shared" si="2"/>
        <v>1.0780000000000001</v>
      </c>
      <c r="AA4" s="2">
        <f t="shared" si="3"/>
        <v>3.3957000000000002</v>
      </c>
    </row>
    <row r="5" spans="1:27" x14ac:dyDescent="0.25">
      <c r="A5" t="s">
        <v>27</v>
      </c>
      <c r="B5" t="s">
        <v>31</v>
      </c>
      <c r="C5" s="2">
        <v>0.2419</v>
      </c>
      <c r="D5" s="2">
        <v>0.22259999999999999</v>
      </c>
      <c r="E5" s="2">
        <v>0.25679999999999997</v>
      </c>
      <c r="F5" s="2">
        <v>0.23699999999999999</v>
      </c>
      <c r="G5" s="2">
        <v>0.22550000000000001</v>
      </c>
      <c r="H5" s="2">
        <v>0.2387</v>
      </c>
      <c r="I5" s="2">
        <v>0.2485</v>
      </c>
      <c r="J5" s="2">
        <v>0.2334</v>
      </c>
      <c r="K5" s="2">
        <v>0.25380000000000003</v>
      </c>
      <c r="L5" s="2">
        <v>0.23699999999999999</v>
      </c>
      <c r="M5" s="2">
        <v>0.24079999999999999</v>
      </c>
      <c r="N5" s="2">
        <v>0.23449999999999999</v>
      </c>
      <c r="O5" s="2">
        <v>0.2276</v>
      </c>
      <c r="P5" s="2">
        <v>0.23619999999999999</v>
      </c>
      <c r="Q5" s="2">
        <v>0.24340000000000001</v>
      </c>
      <c r="R5" s="2">
        <v>0.2291</v>
      </c>
      <c r="S5" s="2">
        <v>0.2223</v>
      </c>
      <c r="T5" s="2">
        <v>0.26119999999999999</v>
      </c>
      <c r="U5" s="2">
        <v>0.23780000000000001</v>
      </c>
      <c r="V5" s="2">
        <v>0.23680000000000001</v>
      </c>
      <c r="W5" s="2">
        <f t="shared" si="0"/>
        <v>0.23824499999999996</v>
      </c>
      <c r="X5" s="2">
        <f t="shared" si="4"/>
        <v>1.068808854950712E-2</v>
      </c>
      <c r="Y5" s="2">
        <f t="shared" si="1"/>
        <v>4.4861753864748986</v>
      </c>
      <c r="Z5" s="2">
        <f t="shared" si="2"/>
        <v>0.2223</v>
      </c>
      <c r="AA5" s="2">
        <f t="shared" si="3"/>
        <v>0.26119999999999999</v>
      </c>
    </row>
    <row r="6" spans="1:27" x14ac:dyDescent="0.25">
      <c r="A6" t="s">
        <v>32</v>
      </c>
      <c r="B6" t="s">
        <v>28</v>
      </c>
      <c r="C6" s="2">
        <v>83.678899999999999</v>
      </c>
      <c r="D6" s="2">
        <v>91.498099999999994</v>
      </c>
      <c r="E6" s="2">
        <v>81.966399999999993</v>
      </c>
      <c r="F6" s="2">
        <v>89.159400000000005</v>
      </c>
      <c r="G6" s="2">
        <v>89.414500000000004</v>
      </c>
      <c r="H6" s="2">
        <v>85.297899999999998</v>
      </c>
      <c r="I6" s="2">
        <v>83.531199999999998</v>
      </c>
      <c r="J6" s="2">
        <v>87.942300000000003</v>
      </c>
      <c r="K6" s="2">
        <v>88.286299999999997</v>
      </c>
      <c r="L6" s="2">
        <v>86.445700000000002</v>
      </c>
      <c r="M6" s="2">
        <v>90.267300000000006</v>
      </c>
      <c r="N6" s="2">
        <v>88.104799999999997</v>
      </c>
      <c r="O6" s="2">
        <v>85.712599999999995</v>
      </c>
      <c r="P6" s="2">
        <v>91.3703</v>
      </c>
      <c r="Q6" s="2">
        <v>83.720200000000006</v>
      </c>
      <c r="R6" s="2">
        <v>83.732500000000002</v>
      </c>
      <c r="S6" s="2">
        <v>86.723500000000001</v>
      </c>
      <c r="T6" s="2">
        <v>87.055999999999997</v>
      </c>
      <c r="U6" s="2">
        <v>85.858199999999997</v>
      </c>
      <c r="V6" s="2">
        <v>89.7911</v>
      </c>
      <c r="W6" s="2">
        <f t="shared" si="0"/>
        <v>86.977860000000007</v>
      </c>
      <c r="X6" s="2">
        <f t="shared" si="4"/>
        <v>2.7921143496414484</v>
      </c>
      <c r="Y6" s="2">
        <f t="shared" si="1"/>
        <v>3.2101437649091942</v>
      </c>
      <c r="Z6" s="2">
        <f t="shared" si="2"/>
        <v>81.966399999999993</v>
      </c>
      <c r="AA6" s="2">
        <f t="shared" si="3"/>
        <v>91.498099999999994</v>
      </c>
    </row>
    <row r="7" spans="1:27" x14ac:dyDescent="0.25">
      <c r="A7" t="s">
        <v>32</v>
      </c>
      <c r="B7" t="s">
        <v>29</v>
      </c>
      <c r="C7" s="2">
        <v>5.5420999999999996</v>
      </c>
      <c r="D7" s="2">
        <v>4.2363</v>
      </c>
      <c r="E7" s="2">
        <v>4.3061999999999996</v>
      </c>
      <c r="F7" s="2">
        <v>6.6806999999999999</v>
      </c>
      <c r="G7" s="2">
        <v>3.0078999999999998</v>
      </c>
      <c r="H7" s="2">
        <v>4.1334</v>
      </c>
      <c r="I7" s="2">
        <v>3.9994000000000001</v>
      </c>
      <c r="J7" s="2">
        <v>6.3630000000000004</v>
      </c>
      <c r="K7" s="2">
        <v>4.9992000000000001</v>
      </c>
      <c r="L7" s="2">
        <v>2.5733999999999999</v>
      </c>
      <c r="M7" s="2">
        <v>5.3315999999999999</v>
      </c>
      <c r="N7" s="2">
        <v>3.8620000000000001</v>
      </c>
      <c r="O7" s="2">
        <v>4.6231</v>
      </c>
      <c r="P7" s="2">
        <v>5.4345999999999997</v>
      </c>
      <c r="Q7" s="2">
        <v>6.6406999999999998</v>
      </c>
      <c r="R7" s="2">
        <v>3.8292000000000002</v>
      </c>
      <c r="S7" s="2">
        <v>6.6447000000000003</v>
      </c>
      <c r="T7" s="2">
        <v>5.4016999999999999</v>
      </c>
      <c r="U7" s="2">
        <v>3.5949</v>
      </c>
      <c r="V7" s="2">
        <v>4.6539999999999999</v>
      </c>
      <c r="W7" s="2">
        <f t="shared" si="0"/>
        <v>4.7929049999999993</v>
      </c>
      <c r="X7" s="2">
        <f t="shared" si="4"/>
        <v>1.2041877635874274</v>
      </c>
      <c r="Y7" s="2">
        <f t="shared" si="1"/>
        <v>25.124382051958627</v>
      </c>
      <c r="Z7" s="2">
        <f t="shared" si="2"/>
        <v>2.5733999999999999</v>
      </c>
      <c r="AA7" s="2">
        <f t="shared" si="3"/>
        <v>6.6806999999999999</v>
      </c>
    </row>
    <row r="8" spans="1:27" x14ac:dyDescent="0.25">
      <c r="A8" t="s">
        <v>32</v>
      </c>
      <c r="B8" t="s">
        <v>30</v>
      </c>
      <c r="C8" s="2">
        <v>2.8988</v>
      </c>
      <c r="D8" s="2">
        <v>3.7280000000000002</v>
      </c>
      <c r="E8" s="2">
        <v>2.9196</v>
      </c>
      <c r="F8" s="2">
        <v>2.3965000000000001</v>
      </c>
      <c r="G8" s="2">
        <v>4.4908000000000001</v>
      </c>
      <c r="H8" s="2">
        <v>4.1391999999999998</v>
      </c>
      <c r="I8" s="2">
        <v>2.2867999999999999</v>
      </c>
      <c r="J8" s="2">
        <v>2.6638000000000002</v>
      </c>
      <c r="K8" s="2">
        <v>3.1633</v>
      </c>
      <c r="L8" s="2">
        <v>2.7605</v>
      </c>
      <c r="M8" s="2">
        <v>3.1701000000000001</v>
      </c>
      <c r="N8" s="2">
        <v>3.5196000000000001</v>
      </c>
      <c r="O8" s="2">
        <v>3.0792999999999999</v>
      </c>
      <c r="P8" s="2">
        <v>2.9733999999999998</v>
      </c>
      <c r="Q8" s="2">
        <v>2.3323</v>
      </c>
      <c r="R8" s="2">
        <v>3.1623000000000001</v>
      </c>
      <c r="S8" s="2">
        <v>2.7926000000000002</v>
      </c>
      <c r="T8" s="2">
        <v>2.8109999999999999</v>
      </c>
      <c r="U8" s="2">
        <v>4.0724999999999998</v>
      </c>
      <c r="V8" s="2">
        <v>3.3849</v>
      </c>
      <c r="W8" s="2">
        <f t="shared" si="0"/>
        <v>3.1372649999999997</v>
      </c>
      <c r="X8" s="2">
        <f t="shared" si="4"/>
        <v>0.60329185419836961</v>
      </c>
      <c r="Y8" s="2">
        <f t="shared" si="1"/>
        <v>19.229865956441987</v>
      </c>
      <c r="Z8" s="2">
        <f t="shared" si="2"/>
        <v>2.2867999999999999</v>
      </c>
      <c r="AA8" s="2">
        <f t="shared" si="3"/>
        <v>4.4908000000000001</v>
      </c>
    </row>
    <row r="9" spans="1:27" x14ac:dyDescent="0.25">
      <c r="A9" t="s">
        <v>32</v>
      </c>
      <c r="B9" t="s">
        <v>31</v>
      </c>
      <c r="C9" s="2">
        <v>0.21249999999999999</v>
      </c>
      <c r="D9" s="2">
        <v>0.21060000000000001</v>
      </c>
      <c r="E9" s="2">
        <v>0.2311</v>
      </c>
      <c r="F9" s="2">
        <v>0.22650000000000001</v>
      </c>
      <c r="G9" s="2">
        <v>0.22170000000000001</v>
      </c>
      <c r="H9" s="2">
        <v>0.22370000000000001</v>
      </c>
      <c r="I9" s="2">
        <v>0.22839999999999999</v>
      </c>
      <c r="J9" s="2">
        <v>0.23100000000000001</v>
      </c>
      <c r="K9" s="2">
        <v>0.22620000000000001</v>
      </c>
      <c r="L9" s="2">
        <v>0.2321</v>
      </c>
      <c r="M9" s="2">
        <v>0.223</v>
      </c>
      <c r="N9" s="2">
        <v>0.22850000000000001</v>
      </c>
      <c r="O9" s="2">
        <v>0.24210000000000001</v>
      </c>
      <c r="P9" s="2">
        <v>0.22800000000000001</v>
      </c>
      <c r="Q9" s="2">
        <v>0.2258</v>
      </c>
      <c r="R9" s="2">
        <v>0.2283</v>
      </c>
      <c r="S9" s="2">
        <v>0.21460000000000001</v>
      </c>
      <c r="T9" s="2">
        <v>0.2324</v>
      </c>
      <c r="U9" s="2">
        <v>0.2243</v>
      </c>
      <c r="V9" s="2">
        <v>0.23050000000000001</v>
      </c>
      <c r="W9" s="2">
        <f t="shared" si="0"/>
        <v>0.22606500000000004</v>
      </c>
      <c r="X9" s="2">
        <f t="shared" si="4"/>
        <v>7.3097825585055239E-3</v>
      </c>
      <c r="Y9" s="2">
        <f t="shared" si="1"/>
        <v>3.2334870760646375</v>
      </c>
      <c r="Z9" s="2">
        <f t="shared" si="2"/>
        <v>0.21060000000000001</v>
      </c>
      <c r="AA9" s="2">
        <f t="shared" si="3"/>
        <v>0.24210000000000001</v>
      </c>
    </row>
    <row r="10" spans="1:27" x14ac:dyDescent="0.25">
      <c r="A10" t="s">
        <v>33</v>
      </c>
      <c r="B10" t="s">
        <v>28</v>
      </c>
      <c r="C10" s="2">
        <v>96.328900000000004</v>
      </c>
      <c r="D10" s="2">
        <v>91.733000000000004</v>
      </c>
      <c r="E10" s="2">
        <v>94.511799999999994</v>
      </c>
      <c r="F10" s="2">
        <v>89.871799999999993</v>
      </c>
      <c r="G10" s="2">
        <v>90.311400000000006</v>
      </c>
      <c r="H10" s="2">
        <v>91.825299999999999</v>
      </c>
      <c r="I10" s="2">
        <v>94.975200000000001</v>
      </c>
      <c r="J10" s="2">
        <v>97.683400000000006</v>
      </c>
      <c r="K10" s="2">
        <v>93.679299999999998</v>
      </c>
      <c r="L10" s="2">
        <v>95.820099999999996</v>
      </c>
      <c r="M10" s="2">
        <v>90.765699999999995</v>
      </c>
      <c r="N10" s="2">
        <v>93.177199999999999</v>
      </c>
      <c r="O10" s="2">
        <v>90.859499999999997</v>
      </c>
      <c r="P10" s="2">
        <v>93.7042</v>
      </c>
      <c r="Q10" s="2">
        <v>91.72</v>
      </c>
      <c r="R10" s="2">
        <v>91.277799999999999</v>
      </c>
      <c r="S10" s="2">
        <v>96.162999999999997</v>
      </c>
      <c r="T10" s="2">
        <v>90.586699999999993</v>
      </c>
      <c r="U10" s="2">
        <v>92.643900000000002</v>
      </c>
      <c r="V10" s="2">
        <v>92.320899999999995</v>
      </c>
      <c r="W10" s="2">
        <f t="shared" si="0"/>
        <v>92.997955000000019</v>
      </c>
      <c r="X10" s="2">
        <f t="shared" si="4"/>
        <v>2.2796419983190357</v>
      </c>
      <c r="Y10" s="2">
        <f t="shared" si="1"/>
        <v>2.4512818570247434</v>
      </c>
      <c r="Z10" s="2">
        <f t="shared" si="2"/>
        <v>89.871799999999993</v>
      </c>
      <c r="AA10" s="2">
        <f t="shared" si="3"/>
        <v>97.683400000000006</v>
      </c>
    </row>
    <row r="11" spans="1:27" x14ac:dyDescent="0.25">
      <c r="A11" t="s">
        <v>33</v>
      </c>
      <c r="B11" t="s">
        <v>29</v>
      </c>
      <c r="C11" s="2">
        <v>6.1938000000000004</v>
      </c>
      <c r="D11" s="2">
        <v>2.3273999999999999</v>
      </c>
      <c r="E11" s="2">
        <v>3.5017999999999998</v>
      </c>
      <c r="F11" s="2">
        <v>5.7577999999999996</v>
      </c>
      <c r="G11" s="2">
        <v>6.0122</v>
      </c>
      <c r="H11" s="2">
        <v>4.7111000000000001</v>
      </c>
      <c r="I11" s="2">
        <v>3.9535999999999998</v>
      </c>
      <c r="J11" s="2">
        <v>4.6512000000000002</v>
      </c>
      <c r="K11" s="2">
        <v>5.4013999999999998</v>
      </c>
      <c r="L11" s="2">
        <v>6.1002000000000001</v>
      </c>
      <c r="M11" s="2">
        <v>5.1462000000000003</v>
      </c>
      <c r="N11" s="2">
        <v>4.6516000000000002</v>
      </c>
      <c r="O11" s="2">
        <v>3.4722</v>
      </c>
      <c r="P11" s="2">
        <v>4.9316000000000004</v>
      </c>
      <c r="Q11" s="2">
        <v>4.2549000000000001</v>
      </c>
      <c r="R11" s="2">
        <v>3.9521999999999999</v>
      </c>
      <c r="S11" s="2">
        <v>5.6353</v>
      </c>
      <c r="T11" s="2">
        <v>5.6009000000000002</v>
      </c>
      <c r="U11" s="2">
        <v>4.9016999999999999</v>
      </c>
      <c r="V11" s="2">
        <v>4.8255999999999997</v>
      </c>
      <c r="W11" s="2">
        <f t="shared" si="0"/>
        <v>4.7991350000000015</v>
      </c>
      <c r="X11" s="2">
        <f t="shared" si="4"/>
        <v>1.005655040927101</v>
      </c>
      <c r="Y11" s="2">
        <f t="shared" si="1"/>
        <v>20.954922937719001</v>
      </c>
      <c r="Z11" s="2">
        <f t="shared" si="2"/>
        <v>2.3273999999999999</v>
      </c>
      <c r="AA11" s="2">
        <f t="shared" si="3"/>
        <v>6.1938000000000004</v>
      </c>
    </row>
    <row r="12" spans="1:27" x14ac:dyDescent="0.25">
      <c r="A12" t="s">
        <v>33</v>
      </c>
      <c r="B12" t="s">
        <v>30</v>
      </c>
      <c r="C12" s="2">
        <v>2.0853000000000002</v>
      </c>
      <c r="D12" s="2">
        <v>2.4946999999999999</v>
      </c>
      <c r="E12" s="2">
        <v>1.8763000000000001</v>
      </c>
      <c r="F12" s="2">
        <v>1.5021</v>
      </c>
      <c r="G12" s="2">
        <v>2.0874000000000001</v>
      </c>
      <c r="H12" s="2">
        <v>1.2407999999999999</v>
      </c>
      <c r="I12" s="2">
        <v>2.1278000000000001</v>
      </c>
      <c r="J12" s="2">
        <v>2.1524000000000001</v>
      </c>
      <c r="K12" s="2">
        <v>2.8329</v>
      </c>
      <c r="L12" s="2">
        <v>1.7712000000000001</v>
      </c>
      <c r="M12" s="2">
        <v>2.5242</v>
      </c>
      <c r="N12" s="2">
        <v>2.0426000000000002</v>
      </c>
      <c r="O12" s="2">
        <v>1.595</v>
      </c>
      <c r="P12" s="2">
        <v>2.3557000000000001</v>
      </c>
      <c r="Q12" s="2">
        <v>2.2319</v>
      </c>
      <c r="R12" s="2">
        <v>1.3008999999999999</v>
      </c>
      <c r="S12" s="2">
        <v>1.9958</v>
      </c>
      <c r="T12" s="2">
        <v>1.8298000000000001</v>
      </c>
      <c r="U12" s="2">
        <v>2.1175000000000002</v>
      </c>
      <c r="V12" s="2">
        <v>2.0735000000000001</v>
      </c>
      <c r="W12" s="2">
        <f t="shared" si="0"/>
        <v>2.0118900000000002</v>
      </c>
      <c r="X12" s="2">
        <f t="shared" si="4"/>
        <v>0.39999323533753534</v>
      </c>
      <c r="Y12" s="2">
        <f t="shared" si="1"/>
        <v>19.88146644883842</v>
      </c>
      <c r="Z12" s="2">
        <f t="shared" si="2"/>
        <v>1.2407999999999999</v>
      </c>
      <c r="AA12" s="2">
        <f t="shared" si="3"/>
        <v>2.8329</v>
      </c>
    </row>
    <row r="13" spans="1:27" x14ac:dyDescent="0.25">
      <c r="A13" t="s">
        <v>33</v>
      </c>
      <c r="B13" t="s">
        <v>31</v>
      </c>
      <c r="C13" s="2">
        <v>0.23880000000000001</v>
      </c>
      <c r="D13" s="2">
        <v>0.24299999999999999</v>
      </c>
      <c r="E13" s="2">
        <v>0.24759999999999999</v>
      </c>
      <c r="F13" s="2">
        <v>0.2767</v>
      </c>
      <c r="G13" s="2">
        <v>0.23469999999999999</v>
      </c>
      <c r="H13" s="2">
        <v>0.22819999999999999</v>
      </c>
      <c r="I13" s="2">
        <v>0.25659999999999999</v>
      </c>
      <c r="J13" s="2">
        <v>0.24990000000000001</v>
      </c>
      <c r="K13" s="2">
        <v>0.2601</v>
      </c>
      <c r="L13" s="2">
        <v>0.25090000000000001</v>
      </c>
      <c r="M13" s="2">
        <v>0.22989999999999999</v>
      </c>
      <c r="N13" s="2">
        <v>0.2419</v>
      </c>
      <c r="O13" s="2">
        <v>0.2293</v>
      </c>
      <c r="P13" s="2">
        <v>0.26300000000000001</v>
      </c>
      <c r="Q13" s="2">
        <v>0.23780000000000001</v>
      </c>
      <c r="R13" s="2">
        <v>0.2681</v>
      </c>
      <c r="S13" s="2">
        <v>0.24590000000000001</v>
      </c>
      <c r="T13" s="2">
        <v>0.2661</v>
      </c>
      <c r="U13" s="2">
        <v>0.24160000000000001</v>
      </c>
      <c r="V13" s="2">
        <v>0.23169999999999999</v>
      </c>
      <c r="W13" s="2">
        <f t="shared" si="0"/>
        <v>0.24708999999999998</v>
      </c>
      <c r="X13" s="2">
        <f t="shared" si="4"/>
        <v>1.4150465865494549E-2</v>
      </c>
      <c r="Y13" s="2">
        <f t="shared" si="1"/>
        <v>5.7268468434556432</v>
      </c>
      <c r="Z13" s="2">
        <f t="shared" si="2"/>
        <v>0.22819999999999999</v>
      </c>
      <c r="AA13" s="2">
        <f t="shared" si="3"/>
        <v>0.2767</v>
      </c>
    </row>
    <row r="14" spans="1:27" x14ac:dyDescent="0.25">
      <c r="A14" t="s">
        <v>34</v>
      </c>
      <c r="B14" t="s">
        <v>28</v>
      </c>
      <c r="C14" s="2">
        <v>92.269000000000005</v>
      </c>
      <c r="D14" s="2">
        <v>100.4593</v>
      </c>
      <c r="E14" s="2">
        <v>98.664000000000001</v>
      </c>
      <c r="F14" s="2">
        <v>97.787000000000006</v>
      </c>
      <c r="G14" s="2">
        <v>92.693600000000004</v>
      </c>
      <c r="H14" s="2">
        <v>95.000600000000006</v>
      </c>
      <c r="I14" s="2">
        <v>97.978700000000003</v>
      </c>
      <c r="J14" s="2">
        <v>97.374200000000002</v>
      </c>
      <c r="K14" s="2">
        <v>95.896000000000001</v>
      </c>
      <c r="L14" s="2">
        <v>96.350800000000007</v>
      </c>
      <c r="M14" s="2">
        <v>97.203299999999999</v>
      </c>
      <c r="N14" s="2">
        <v>93.799499999999995</v>
      </c>
      <c r="O14" s="2">
        <v>97.861999999999995</v>
      </c>
      <c r="P14" s="2">
        <v>96.325500000000005</v>
      </c>
      <c r="Q14" s="2">
        <v>95.999600000000001</v>
      </c>
      <c r="R14" s="2">
        <v>95.180099999999996</v>
      </c>
      <c r="S14" s="2">
        <v>96.293899999999994</v>
      </c>
      <c r="T14" s="2">
        <v>95.775999999999996</v>
      </c>
      <c r="U14" s="2">
        <v>98.117999999999995</v>
      </c>
      <c r="V14" s="2">
        <v>97.984800000000007</v>
      </c>
      <c r="W14" s="2">
        <f t="shared" si="0"/>
        <v>96.450794999999999</v>
      </c>
      <c r="X14" s="2">
        <f t="shared" si="4"/>
        <v>2.0130830891093128</v>
      </c>
      <c r="Y14" s="2">
        <f t="shared" si="1"/>
        <v>2.0871607010697142</v>
      </c>
      <c r="Z14" s="2">
        <f t="shared" si="2"/>
        <v>92.269000000000005</v>
      </c>
      <c r="AA14" s="2">
        <f t="shared" si="3"/>
        <v>100.4593</v>
      </c>
    </row>
    <row r="15" spans="1:27" x14ac:dyDescent="0.25">
      <c r="A15" t="s">
        <v>34</v>
      </c>
      <c r="B15" t="s">
        <v>29</v>
      </c>
      <c r="C15" s="2">
        <v>5.3055000000000003</v>
      </c>
      <c r="D15" s="2">
        <v>4.8207000000000004</v>
      </c>
      <c r="E15" s="2">
        <v>5.8829000000000002</v>
      </c>
      <c r="F15" s="2">
        <v>5.1924000000000001</v>
      </c>
      <c r="G15" s="2">
        <v>5.4558999999999997</v>
      </c>
      <c r="H15" s="2">
        <v>4.6135999999999999</v>
      </c>
      <c r="I15" s="2">
        <v>4.5174000000000003</v>
      </c>
      <c r="J15" s="2">
        <v>3.9636999999999998</v>
      </c>
      <c r="K15" s="2">
        <v>4.9062999999999999</v>
      </c>
      <c r="L15" s="2">
        <v>4.1958000000000002</v>
      </c>
      <c r="M15" s="2">
        <v>4.5629999999999997</v>
      </c>
      <c r="N15" s="2">
        <v>3.8161</v>
      </c>
      <c r="O15" s="2">
        <v>3.9952000000000001</v>
      </c>
      <c r="P15" s="2">
        <v>5.3174999999999999</v>
      </c>
      <c r="Q15" s="2">
        <v>4.7176999999999998</v>
      </c>
      <c r="R15" s="2">
        <v>5.1041999999999996</v>
      </c>
      <c r="S15" s="2">
        <v>4.9226000000000001</v>
      </c>
      <c r="T15" s="2">
        <v>5.6052999999999997</v>
      </c>
      <c r="U15" s="2">
        <v>5.3452000000000002</v>
      </c>
      <c r="V15" s="2">
        <v>3.6922000000000001</v>
      </c>
      <c r="W15" s="2">
        <f t="shared" si="0"/>
        <v>4.796660000000001</v>
      </c>
      <c r="X15" s="2">
        <f t="shared" si="4"/>
        <v>0.62534220139224617</v>
      </c>
      <c r="Y15" s="2">
        <f t="shared" si="1"/>
        <v>13.037034131921921</v>
      </c>
      <c r="Z15" s="2">
        <f t="shared" si="2"/>
        <v>3.6922000000000001</v>
      </c>
      <c r="AA15" s="2">
        <f t="shared" si="3"/>
        <v>5.8829000000000002</v>
      </c>
    </row>
    <row r="16" spans="1:27" x14ac:dyDescent="0.25">
      <c r="A16" t="s">
        <v>34</v>
      </c>
      <c r="B16" t="s">
        <v>30</v>
      </c>
      <c r="C16" s="2">
        <v>1.1093</v>
      </c>
      <c r="D16" s="2">
        <v>1.8082</v>
      </c>
      <c r="E16" s="2">
        <v>0.8861</v>
      </c>
      <c r="F16" s="2">
        <v>1.7745</v>
      </c>
      <c r="G16" s="2">
        <v>1.9060999999999999</v>
      </c>
      <c r="H16" s="2">
        <v>1.5555000000000001</v>
      </c>
      <c r="I16" s="2">
        <v>1.2885</v>
      </c>
      <c r="J16" s="2">
        <v>0.81610000000000005</v>
      </c>
      <c r="K16" s="2">
        <v>1.3147</v>
      </c>
      <c r="L16" s="2">
        <v>1.1865000000000001</v>
      </c>
      <c r="M16" s="2">
        <v>1.2890999999999999</v>
      </c>
      <c r="N16" s="2">
        <v>1.6121000000000001</v>
      </c>
      <c r="O16" s="2">
        <v>1.1886000000000001</v>
      </c>
      <c r="P16" s="2">
        <v>2.0503</v>
      </c>
      <c r="Q16" s="2">
        <v>1.3708</v>
      </c>
      <c r="R16" s="2">
        <v>1.8680000000000001</v>
      </c>
      <c r="S16" s="2">
        <v>1.9240999999999999</v>
      </c>
      <c r="T16" s="2">
        <v>1.8219000000000001</v>
      </c>
      <c r="U16" s="2">
        <v>1.9074</v>
      </c>
      <c r="V16" s="2">
        <v>1.4931000000000001</v>
      </c>
      <c r="W16" s="2">
        <f t="shared" si="0"/>
        <v>1.5085449999999998</v>
      </c>
      <c r="X16" s="2">
        <f t="shared" si="4"/>
        <v>0.36777630568909203</v>
      </c>
      <c r="Y16" s="2">
        <f t="shared" si="1"/>
        <v>24.379538276225905</v>
      </c>
      <c r="Z16" s="2">
        <f t="shared" si="2"/>
        <v>0.81610000000000005</v>
      </c>
      <c r="AA16" s="2">
        <f t="shared" si="3"/>
        <v>2.0503</v>
      </c>
    </row>
    <row r="17" spans="1:27" x14ac:dyDescent="0.25">
      <c r="A17" t="s">
        <v>34</v>
      </c>
      <c r="B17" t="s">
        <v>31</v>
      </c>
      <c r="C17" s="2">
        <v>0.26079999999999998</v>
      </c>
      <c r="D17" s="2">
        <v>0.28239999999999998</v>
      </c>
      <c r="E17" s="2">
        <v>0.2581</v>
      </c>
      <c r="F17" s="2">
        <v>0.27839999999999998</v>
      </c>
      <c r="G17" s="2">
        <v>0.26150000000000001</v>
      </c>
      <c r="H17" s="2">
        <v>0.2581</v>
      </c>
      <c r="I17" s="2">
        <v>0.27350000000000002</v>
      </c>
      <c r="J17" s="2">
        <v>0.25690000000000002</v>
      </c>
      <c r="K17" s="2">
        <v>0.25850000000000001</v>
      </c>
      <c r="L17" s="2">
        <v>0.31790000000000002</v>
      </c>
      <c r="M17" s="2">
        <v>0.26519999999999999</v>
      </c>
      <c r="N17" s="2">
        <v>0.28470000000000001</v>
      </c>
      <c r="O17" s="2">
        <v>0.2606</v>
      </c>
      <c r="P17" s="2">
        <v>0.2959</v>
      </c>
      <c r="Q17" s="2">
        <v>0.3039</v>
      </c>
      <c r="R17" s="2">
        <v>0.2752</v>
      </c>
      <c r="S17" s="2">
        <v>0.27010000000000001</v>
      </c>
      <c r="T17" s="2">
        <v>0.2631</v>
      </c>
      <c r="U17" s="2">
        <v>0.26179999999999998</v>
      </c>
      <c r="V17" s="2">
        <v>0.23960000000000001</v>
      </c>
      <c r="W17" s="2">
        <f t="shared" si="0"/>
        <v>0.27131000000000005</v>
      </c>
      <c r="X17" s="2">
        <f t="shared" si="4"/>
        <v>1.8430806590568612E-2</v>
      </c>
      <c r="Y17" s="2">
        <f t="shared" si="1"/>
        <v>6.7932647490209028</v>
      </c>
      <c r="Z17" s="2">
        <f t="shared" si="2"/>
        <v>0.23960000000000001</v>
      </c>
      <c r="AA17" s="2">
        <f t="shared" si="3"/>
        <v>0.31790000000000002</v>
      </c>
    </row>
    <row r="18" spans="1:27" x14ac:dyDescent="0.25">
      <c r="A18" t="s">
        <v>35</v>
      </c>
      <c r="B18" t="s">
        <v>28</v>
      </c>
      <c r="C18" s="2">
        <v>97.418099999999995</v>
      </c>
      <c r="D18" s="2">
        <v>99.014499999999998</v>
      </c>
      <c r="E18" s="2">
        <v>97.825400000000002</v>
      </c>
      <c r="F18" s="2">
        <v>96.970500000000001</v>
      </c>
      <c r="G18" s="2">
        <v>95.484200000000001</v>
      </c>
      <c r="H18" s="2">
        <v>96.9696</v>
      </c>
      <c r="I18" s="2">
        <v>97.228300000000004</v>
      </c>
      <c r="J18" s="2">
        <v>97.933099999999996</v>
      </c>
      <c r="K18" s="2">
        <v>98.009100000000004</v>
      </c>
      <c r="L18" s="2">
        <v>95.480800000000002</v>
      </c>
      <c r="M18" s="2">
        <v>96.847099999999998</v>
      </c>
      <c r="N18" s="2">
        <v>99.926500000000004</v>
      </c>
      <c r="O18" s="2">
        <v>99.160300000000007</v>
      </c>
      <c r="P18" s="2">
        <v>98.546499999999995</v>
      </c>
      <c r="Q18" s="2">
        <v>96.529799999999994</v>
      </c>
      <c r="R18" s="2">
        <v>98.913799999999995</v>
      </c>
      <c r="S18" s="2">
        <v>100.1443</v>
      </c>
      <c r="T18" s="2">
        <v>99.597300000000004</v>
      </c>
      <c r="U18" s="2">
        <v>98.874700000000004</v>
      </c>
      <c r="V18" s="2">
        <v>98.871200000000002</v>
      </c>
      <c r="W18" s="2">
        <f t="shared" si="0"/>
        <v>97.98725499999999</v>
      </c>
      <c r="X18" s="2">
        <f t="shared" si="4"/>
        <v>1.3601060931818991</v>
      </c>
      <c r="Y18" s="2">
        <f t="shared" si="1"/>
        <v>1.3880438769122567</v>
      </c>
      <c r="Z18" s="2">
        <f t="shared" si="2"/>
        <v>95.480800000000002</v>
      </c>
      <c r="AA18" s="2">
        <f t="shared" si="3"/>
        <v>100.1443</v>
      </c>
    </row>
    <row r="19" spans="1:27" x14ac:dyDescent="0.25">
      <c r="A19" t="s">
        <v>35</v>
      </c>
      <c r="B19" t="s">
        <v>29</v>
      </c>
      <c r="C19" s="2">
        <v>5.6378000000000004</v>
      </c>
      <c r="D19" s="2">
        <v>3.5127999999999999</v>
      </c>
      <c r="E19" s="2">
        <v>5.7115999999999998</v>
      </c>
      <c r="F19" s="2">
        <v>4.8680000000000003</v>
      </c>
      <c r="G19" s="2">
        <v>5.1586999999999996</v>
      </c>
      <c r="H19" s="2">
        <v>4.9050000000000002</v>
      </c>
      <c r="I19" s="2">
        <v>3.9862000000000002</v>
      </c>
      <c r="J19" s="2">
        <v>3.2549999999999999</v>
      </c>
      <c r="K19" s="2">
        <v>4.5278999999999998</v>
      </c>
      <c r="L19" s="2">
        <v>5.2211999999999996</v>
      </c>
      <c r="M19" s="2">
        <v>6.1710000000000003</v>
      </c>
      <c r="N19" s="2">
        <v>5.5137999999999998</v>
      </c>
      <c r="O19" s="2">
        <v>4.3005000000000004</v>
      </c>
      <c r="P19" s="2">
        <v>4.8182999999999998</v>
      </c>
      <c r="Q19" s="2">
        <v>4.1731999999999996</v>
      </c>
      <c r="R19" s="2">
        <v>5.0960999999999999</v>
      </c>
      <c r="S19" s="2">
        <v>4.4983000000000004</v>
      </c>
      <c r="T19" s="2">
        <v>4.2828999999999997</v>
      </c>
      <c r="U19" s="2">
        <v>4.5961999999999996</v>
      </c>
      <c r="V19" s="2">
        <v>4.8391000000000002</v>
      </c>
      <c r="W19" s="2">
        <f t="shared" si="0"/>
        <v>4.7536800000000001</v>
      </c>
      <c r="X19" s="2">
        <f t="shared" si="4"/>
        <v>0.72956270074325125</v>
      </c>
      <c r="Y19" s="2">
        <f t="shared" si="1"/>
        <v>15.347324614682755</v>
      </c>
      <c r="Z19" s="2">
        <f t="shared" si="2"/>
        <v>3.2549999999999999</v>
      </c>
      <c r="AA19" s="2">
        <f t="shared" si="3"/>
        <v>6.1710000000000003</v>
      </c>
    </row>
    <row r="20" spans="1:27" x14ac:dyDescent="0.25">
      <c r="A20" t="s">
        <v>35</v>
      </c>
      <c r="B20" t="s">
        <v>30</v>
      </c>
      <c r="C20" s="2">
        <v>0.45100000000000001</v>
      </c>
      <c r="D20" s="2">
        <v>0.85409999999999997</v>
      </c>
      <c r="E20" s="2">
        <v>1.4998</v>
      </c>
      <c r="F20" s="2">
        <v>0.81340000000000001</v>
      </c>
      <c r="G20" s="2">
        <v>0.93010000000000004</v>
      </c>
      <c r="H20" s="2">
        <v>0.91759999999999997</v>
      </c>
      <c r="I20" s="2">
        <v>0.85899999999999999</v>
      </c>
      <c r="J20" s="2">
        <v>0.6986</v>
      </c>
      <c r="K20" s="2">
        <v>1.179</v>
      </c>
      <c r="L20" s="2">
        <v>1.0417000000000001</v>
      </c>
      <c r="M20" s="2">
        <v>1.5161</v>
      </c>
      <c r="N20" s="2">
        <v>0.84160000000000001</v>
      </c>
      <c r="O20" s="2">
        <v>1.1938</v>
      </c>
      <c r="P20" s="2">
        <v>1.3324</v>
      </c>
      <c r="Q20" s="2">
        <v>1.2302999999999999</v>
      </c>
      <c r="R20" s="2">
        <v>1.2345999999999999</v>
      </c>
      <c r="S20" s="2">
        <v>1.0579000000000001</v>
      </c>
      <c r="T20" s="2">
        <v>1.7004999999999999</v>
      </c>
      <c r="U20" s="2">
        <v>1.1287</v>
      </c>
      <c r="V20" s="2">
        <v>1.4876</v>
      </c>
      <c r="W20" s="2">
        <f t="shared" si="0"/>
        <v>1.09839</v>
      </c>
      <c r="X20" s="2">
        <f t="shared" si="4"/>
        <v>0.31337026342650959</v>
      </c>
      <c r="Y20" s="2">
        <f t="shared" si="1"/>
        <v>28.529963257723541</v>
      </c>
      <c r="Z20" s="2">
        <f t="shared" si="2"/>
        <v>0.45100000000000001</v>
      </c>
      <c r="AA20" s="2">
        <f t="shared" si="3"/>
        <v>1.7004999999999999</v>
      </c>
    </row>
    <row r="21" spans="1:27" x14ac:dyDescent="0.25">
      <c r="A21" t="s">
        <v>35</v>
      </c>
      <c r="B21" t="s">
        <v>31</v>
      </c>
      <c r="C21" s="2">
        <v>0.30590000000000001</v>
      </c>
      <c r="D21" s="2">
        <v>0.29570000000000002</v>
      </c>
      <c r="E21" s="2">
        <v>0.2989</v>
      </c>
      <c r="F21" s="2">
        <v>0.26650000000000001</v>
      </c>
      <c r="G21" s="2">
        <v>0.28570000000000001</v>
      </c>
      <c r="H21" s="2">
        <v>0.2888</v>
      </c>
      <c r="I21" s="2">
        <v>0.27910000000000001</v>
      </c>
      <c r="J21" s="2">
        <v>0.29670000000000002</v>
      </c>
      <c r="K21" s="2">
        <v>0.29360000000000003</v>
      </c>
      <c r="L21" s="2">
        <v>0.28489999999999999</v>
      </c>
      <c r="M21" s="2">
        <v>0.27129999999999999</v>
      </c>
      <c r="N21" s="2">
        <v>0.31009999999999999</v>
      </c>
      <c r="O21" s="2">
        <v>0.29609999999999997</v>
      </c>
      <c r="P21" s="2">
        <v>0.31769999999999998</v>
      </c>
      <c r="Q21" s="2">
        <v>0.28470000000000001</v>
      </c>
      <c r="R21" s="2">
        <v>0.27260000000000001</v>
      </c>
      <c r="S21" s="2">
        <v>0.33139999999999997</v>
      </c>
      <c r="T21" s="2">
        <v>0.3241</v>
      </c>
      <c r="U21" s="2">
        <v>0.27210000000000001</v>
      </c>
      <c r="V21" s="2">
        <v>0.29430000000000001</v>
      </c>
      <c r="W21" s="2">
        <f t="shared" si="0"/>
        <v>0.29350999999999999</v>
      </c>
      <c r="X21" s="2">
        <f t="shared" si="4"/>
        <v>1.776702741478986E-2</v>
      </c>
      <c r="Y21" s="2">
        <f t="shared" si="1"/>
        <v>6.0532954293856633</v>
      </c>
      <c r="Z21" s="2">
        <f t="shared" si="2"/>
        <v>0.26650000000000001</v>
      </c>
      <c r="AA21" s="2">
        <f t="shared" si="3"/>
        <v>0.33139999999999997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5" x14ac:dyDescent="0.25"/>
  <cols>
    <col min="1" max="1" width="32" customWidth="1"/>
    <col min="2" max="5" width="25" customWidth="1"/>
  </cols>
  <sheetData>
    <row r="1" spans="1:5" x14ac:dyDescent="0.25">
      <c r="A1" s="3" t="s">
        <v>0</v>
      </c>
      <c r="B1" s="3" t="s">
        <v>28</v>
      </c>
      <c r="C1" s="3" t="s">
        <v>29</v>
      </c>
      <c r="D1" s="3" t="s">
        <v>30</v>
      </c>
      <c r="E1" s="3" t="s">
        <v>31</v>
      </c>
    </row>
    <row r="2" spans="1:5" x14ac:dyDescent="0.25">
      <c r="A2" t="s">
        <v>27</v>
      </c>
      <c r="B2" t="str">
        <f>TEXT(Results_Table9!W2,"0.00")&amp;" ± "&amp;TEXT(Results_Table9!X2,"0.00")</f>
        <v>91.48 ± 2.73</v>
      </c>
      <c r="C2" t="str">
        <f>TEXT(Results_Table9!W3,"0.00")&amp;" ± "&amp;TEXT(Results_Table9!X3,"0.00")</f>
        <v>4.77 ± 0.96</v>
      </c>
      <c r="D2" t="str">
        <f>TEXT(Results_Table9!W4,"0.00")&amp;" ± "&amp;TEXT(Results_Table9!X4,"0.00")</f>
        <v>2.39 ± 0.55</v>
      </c>
      <c r="E2" t="str">
        <f>TEXT(Results_Table9!W5,"0.000")&amp;" ± "&amp;TEXT(Results_Table9!X5,"0.000")</f>
        <v>0.238 ± 0.011</v>
      </c>
    </row>
    <row r="3" spans="1:5" x14ac:dyDescent="0.25">
      <c r="A3" t="s">
        <v>32</v>
      </c>
      <c r="B3" t="str">
        <f>TEXT(Results_Table9!W6,"0.00")&amp;" ± "&amp;TEXT(Results_Table9!X6,"0.00")</f>
        <v>86.98 ± 2.79</v>
      </c>
      <c r="C3" t="str">
        <f>TEXT(Results_Table9!W7,"0.00")&amp;" ± "&amp;TEXT(Results_Table9!X7,"0.00")</f>
        <v>4.79 ± 1.20</v>
      </c>
      <c r="D3" t="str">
        <f>TEXT(Results_Table9!W8,"0.00")&amp;" ± "&amp;TEXT(Results_Table9!X8,"0.00")</f>
        <v>3.14 ± 0.60</v>
      </c>
      <c r="E3" t="str">
        <f>TEXT(Results_Table9!W9,"0.000")&amp;" ± "&amp;TEXT(Results_Table9!X9,"0.000")</f>
        <v>0.226 ± 0.007</v>
      </c>
    </row>
    <row r="4" spans="1:5" x14ac:dyDescent="0.25">
      <c r="A4" t="s">
        <v>33</v>
      </c>
      <c r="B4" t="str">
        <f>TEXT(Results_Table9!W10,"0.00")&amp;" ± "&amp;TEXT(Results_Table9!X10,"0.00")</f>
        <v>93.00 ± 2.28</v>
      </c>
      <c r="C4" t="str">
        <f>TEXT(Results_Table9!W11,"0.00")&amp;" ± "&amp;TEXT(Results_Table9!X11,"0.00")</f>
        <v>4.80 ± 1.01</v>
      </c>
      <c r="D4" t="str">
        <f>TEXT(Results_Table9!W12,"0.00")&amp;" ± "&amp;TEXT(Results_Table9!X12,"0.00")</f>
        <v>2.01 ± 0.40</v>
      </c>
      <c r="E4" t="str">
        <f>TEXT(Results_Table9!W13,"0.000")&amp;" ± "&amp;TEXT(Results_Table9!X13,"0.000")</f>
        <v>0.247 ± 0.014</v>
      </c>
    </row>
    <row r="5" spans="1:5" x14ac:dyDescent="0.25">
      <c r="A5" t="s">
        <v>34</v>
      </c>
      <c r="B5" t="str">
        <f>TEXT(Results_Table9!W14,"0.00")&amp;" ± "&amp;TEXT(Results_Table9!X14,"0.00")</f>
        <v>96.45 ± 2.01</v>
      </c>
      <c r="C5" t="str">
        <f>TEXT(Results_Table9!W15,"0.00")&amp;" ± "&amp;TEXT(Results_Table9!X15,"0.00")</f>
        <v>4.80 ± 0.63</v>
      </c>
      <c r="D5" t="str">
        <f>TEXT(Results_Table9!W16,"0.00")&amp;" ± "&amp;TEXT(Results_Table9!X16,"0.00")</f>
        <v>1.51 ± 0.37</v>
      </c>
      <c r="E5" t="str">
        <f>TEXT(Results_Table9!W17,"0.000")&amp;" ± "&amp;TEXT(Results_Table9!X17,"0.000")</f>
        <v>0.271 ± 0.018</v>
      </c>
    </row>
    <row r="6" spans="1:5" x14ac:dyDescent="0.25">
      <c r="A6" t="s">
        <v>35</v>
      </c>
      <c r="B6" t="str">
        <f>TEXT(Results_Table9!W18,"0.00")&amp;" ± "&amp;TEXT(Results_Table9!X18,"0.00")</f>
        <v>97.99 ± 1.36</v>
      </c>
      <c r="C6" t="str">
        <f>TEXT(Results_Table9!W19,"0.00")&amp;" ± "&amp;TEXT(Results_Table9!X19,"0.00")</f>
        <v>4.75 ± 0.73</v>
      </c>
      <c r="D6" t="str">
        <f>TEXT(Results_Table9!W20,"0.00")&amp;" ± "&amp;TEXT(Results_Table9!X20,"0.00")</f>
        <v>1.10 ± 0.31</v>
      </c>
      <c r="E6" t="str">
        <f>TEXT(Results_Table9!W21,"0.000")&amp;" ± "&amp;TEXT(Results_Table9!X21,"0.000")</f>
        <v>0.294 ± 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Results_Table9</vt:lpstr>
      <vt:lpstr>Table9_Summary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Inzamam Mashood Nasir</cp:lastModifiedBy>
  <dcterms:created xsi:type="dcterms:W3CDTF">2026-09-26T17:45:53Z</dcterms:created>
  <dcterms:modified xsi:type="dcterms:W3CDTF">2026-09-27T09:02:32Z</dcterms:modified>
</cp:coreProperties>
</file>