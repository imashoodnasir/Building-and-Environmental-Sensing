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9ED57E22-6AEA-473A-B0CB-BC561A0541B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lts_Table15" sheetId="1" r:id="rId1"/>
    <sheet name="Table15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2" i="1"/>
  <c r="AB41" i="1"/>
  <c r="AA41" i="1"/>
  <c r="X41" i="1"/>
  <c r="AB40" i="1"/>
  <c r="AA40" i="1"/>
  <c r="X40" i="1"/>
  <c r="AB39" i="1"/>
  <c r="AA39" i="1"/>
  <c r="X39" i="1"/>
  <c r="AB38" i="1"/>
  <c r="AA38" i="1"/>
  <c r="X38" i="1"/>
  <c r="D9" i="3" s="1"/>
  <c r="AB37" i="1"/>
  <c r="AA37" i="1"/>
  <c r="X37" i="1"/>
  <c r="AB36" i="1"/>
  <c r="AA36" i="1"/>
  <c r="X36" i="1"/>
  <c r="AB35" i="1"/>
  <c r="AA35" i="1"/>
  <c r="X35" i="1"/>
  <c r="AB34" i="1"/>
  <c r="AA34" i="1"/>
  <c r="X34" i="1"/>
  <c r="E8" i="3" s="1"/>
  <c r="AB33" i="1"/>
  <c r="AA33" i="1"/>
  <c r="Z33" i="1"/>
  <c r="X33" i="1"/>
  <c r="AB32" i="1"/>
  <c r="AA32" i="1"/>
  <c r="X32" i="1"/>
  <c r="C8" i="3" s="1"/>
  <c r="AB31" i="1"/>
  <c r="AA31" i="1"/>
  <c r="Z31" i="1"/>
  <c r="X31" i="1"/>
  <c r="G7" i="3" s="1"/>
  <c r="AB30" i="1"/>
  <c r="AA30" i="1"/>
  <c r="X30" i="1"/>
  <c r="AB29" i="1"/>
  <c r="AA29" i="1"/>
  <c r="X29" i="1"/>
  <c r="E7" i="3" s="1"/>
  <c r="AB28" i="1"/>
  <c r="AA28" i="1"/>
  <c r="Z28" i="1"/>
  <c r="X28" i="1"/>
  <c r="D7" i="3" s="1"/>
  <c r="AB27" i="1"/>
  <c r="AA27" i="1"/>
  <c r="X27" i="1"/>
  <c r="AB26" i="1"/>
  <c r="AA26" i="1"/>
  <c r="Z26" i="1"/>
  <c r="X26" i="1"/>
  <c r="G6" i="3" s="1"/>
  <c r="AB25" i="1"/>
  <c r="AA25" i="1"/>
  <c r="Z25" i="1"/>
  <c r="X25" i="1"/>
  <c r="F6" i="3" s="1"/>
  <c r="AB24" i="1"/>
  <c r="AA24" i="1"/>
  <c r="X24" i="1"/>
  <c r="E6" i="3" s="1"/>
  <c r="AB23" i="1"/>
  <c r="AA23" i="1"/>
  <c r="X23" i="1"/>
  <c r="AB22" i="1"/>
  <c r="AA22" i="1"/>
  <c r="X22" i="1"/>
  <c r="C6" i="3" s="1"/>
  <c r="AB21" i="1"/>
  <c r="AA21" i="1"/>
  <c r="X21" i="1"/>
  <c r="G5" i="3" s="1"/>
  <c r="AB20" i="1"/>
  <c r="AA20" i="1"/>
  <c r="Z20" i="1"/>
  <c r="X20" i="1"/>
  <c r="F5" i="3" s="1"/>
  <c r="AB19" i="1"/>
  <c r="AA19" i="1"/>
  <c r="X19" i="1"/>
  <c r="AB18" i="1"/>
  <c r="AA18" i="1"/>
  <c r="X18" i="1"/>
  <c r="D5" i="3" s="1"/>
  <c r="AB17" i="1"/>
  <c r="AA17" i="1"/>
  <c r="Z17" i="1"/>
  <c r="X17" i="1"/>
  <c r="AB16" i="1"/>
  <c r="AA16" i="1"/>
  <c r="X16" i="1"/>
  <c r="AB15" i="1"/>
  <c r="AA15" i="1"/>
  <c r="Z15" i="1"/>
  <c r="X15" i="1"/>
  <c r="F4" i="3" s="1"/>
  <c r="AB14" i="1"/>
  <c r="AA14" i="1"/>
  <c r="X14" i="1"/>
  <c r="AB13" i="1"/>
  <c r="AA13" i="1"/>
  <c r="X13" i="1"/>
  <c r="D4" i="3" s="1"/>
  <c r="AB12" i="1"/>
  <c r="AA12" i="1"/>
  <c r="X12" i="1"/>
  <c r="AB11" i="1"/>
  <c r="AA11" i="1"/>
  <c r="X11" i="1"/>
  <c r="G3" i="3" s="1"/>
  <c r="AB10" i="1"/>
  <c r="AA10" i="1"/>
  <c r="X10" i="1"/>
  <c r="AB9" i="1"/>
  <c r="AA9" i="1"/>
  <c r="X9" i="1"/>
  <c r="E3" i="3" s="1"/>
  <c r="AB8" i="1"/>
  <c r="AA8" i="1"/>
  <c r="Z8" i="1"/>
  <c r="X8" i="1"/>
  <c r="AB7" i="1"/>
  <c r="AA7" i="1"/>
  <c r="Z7" i="1"/>
  <c r="X7" i="1"/>
  <c r="C3" i="3" s="1"/>
  <c r="AB6" i="1"/>
  <c r="AA6" i="1"/>
  <c r="Z6" i="1"/>
  <c r="X6" i="1"/>
  <c r="G2" i="3" s="1"/>
  <c r="AB5" i="1"/>
  <c r="AA5" i="1"/>
  <c r="X5" i="1"/>
  <c r="F2" i="3" s="1"/>
  <c r="AB4" i="1"/>
  <c r="AA4" i="1"/>
  <c r="X4" i="1"/>
  <c r="E2" i="3" s="1"/>
  <c r="AB3" i="1"/>
  <c r="AA3" i="1"/>
  <c r="Z3" i="1"/>
  <c r="X3" i="1"/>
  <c r="D2" i="3" s="1"/>
  <c r="AB2" i="1"/>
  <c r="AA2" i="1"/>
  <c r="Z2" i="1"/>
  <c r="X2" i="1"/>
  <c r="G4" i="3" l="1"/>
  <c r="E4" i="3"/>
  <c r="Z41" i="1"/>
  <c r="Z38" i="1"/>
  <c r="Z34" i="1"/>
  <c r="Z32" i="1"/>
  <c r="Z30" i="1"/>
  <c r="Z29" i="1"/>
  <c r="Z24" i="1"/>
  <c r="Z23" i="1"/>
  <c r="Z22" i="1"/>
  <c r="Z21" i="1"/>
  <c r="Z18" i="1"/>
  <c r="C5" i="3"/>
  <c r="Z16" i="1"/>
  <c r="Z12" i="1"/>
  <c r="Z11" i="1"/>
  <c r="Z10" i="1"/>
  <c r="Z9" i="1"/>
  <c r="Z14" i="1"/>
  <c r="Z27" i="1"/>
  <c r="Z4" i="1"/>
  <c r="Z13" i="1"/>
  <c r="Z5" i="1"/>
  <c r="C7" i="3"/>
  <c r="C4" i="3"/>
  <c r="C2" i="3"/>
  <c r="F3" i="3"/>
  <c r="D3" i="3"/>
  <c r="Z37" i="1"/>
  <c r="C9" i="3"/>
  <c r="Z35" i="1"/>
  <c r="F8" i="3"/>
  <c r="D8" i="3"/>
  <c r="Z39" i="1"/>
  <c r="E9" i="3"/>
  <c r="G9" i="3"/>
  <c r="D6" i="3"/>
  <c r="F7" i="3"/>
  <c r="Z40" i="1"/>
  <c r="F9" i="3"/>
  <c r="G8" i="3"/>
  <c r="Z36" i="1"/>
  <c r="Z19" i="1"/>
  <c r="E5" i="3"/>
</calcChain>
</file>

<file path=xl/sharedStrings.xml><?xml version="1.0" encoding="utf-8"?>
<sst xmlns="http://schemas.openxmlformats.org/spreadsheetml/2006/main" count="171" uniqueCount="43">
  <si>
    <t>Experiment</t>
  </si>
  <si>
    <t>Configuration</t>
  </si>
  <si>
    <t>Metric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</si>
  <si>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</si>
  <si>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</si>
  <si>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</si>
  <si>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</si>
  <si>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</si>
  <si>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</si>
  <si>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</si>
  <si>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</si>
  <si>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</si>
  <si>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</si>
  <si>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</si>
  <si>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</si>
  <si>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</si>
  <si>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</si>
  <si>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</si>
  <si>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</si>
  <si>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</si>
  <si>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</si>
  <si>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</si>
  <si>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</si>
  <si>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</si>
  <si>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</si>
  <si>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</si>
  <si>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</si>
  <si>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</si>
  <si>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Historical retention</t>
  </si>
  <si>
    <t>Before adaptation</t>
  </si>
  <si>
    <t>MAE</t>
  </si>
  <si>
    <t>RMSE</t>
  </si>
  <si>
    <t>sMAPE (%)</t>
  </si>
  <si>
    <t>R2</t>
  </si>
  <si>
    <t>Shift Score</t>
  </si>
  <si>
    <t>After adaptation</t>
  </si>
  <si>
    <t>Replay regularization</t>
  </si>
  <si>
    <t>Alignment regularization</t>
  </si>
  <si>
    <t>Backward transfer</t>
  </si>
  <si>
    <t>Naive continual</t>
  </si>
  <si>
    <t>EWC-style</t>
  </si>
  <si>
    <t>Replay</t>
  </si>
  <si>
    <t>Replay + 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</si>
</sst>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"/>
  <sheetViews>
    <sheetView workbookViewId="0">
      <pane xSplit="3" ySplit="1" topLeftCell="O2" activePane="bottomRight" state="frozen"/>
      <selection pane="topRight"/>
      <selection pane="bottomLeft"/>
      <selection pane="bottomRight" activeCell="Y2" sqref="Y2:Y41"/>
    </sheetView>
  </sheetViews>
  <sheetFormatPr defaultRowHeight="15" x14ac:dyDescent="0.25"/>
  <cols>
    <col min="1" max="1" width="22" customWidth="1"/>
    <col min="2" max="2" width="25" customWidth="1"/>
    <col min="3" max="3" width="16" customWidth="1"/>
    <col min="4" max="28" width="1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s="2">
        <v>0.49430000000000002</v>
      </c>
      <c r="E2" s="2">
        <v>0.54220000000000002</v>
      </c>
      <c r="F2" s="2">
        <v>0.51029999999999998</v>
      </c>
      <c r="G2" s="2">
        <v>0.51170000000000004</v>
      </c>
      <c r="H2" s="2">
        <v>0.5292</v>
      </c>
      <c r="I2" s="2">
        <v>0.53580000000000005</v>
      </c>
      <c r="J2" s="2">
        <v>0.52010000000000001</v>
      </c>
      <c r="K2" s="2">
        <v>0.52929999999999999</v>
      </c>
      <c r="L2" s="2">
        <v>0.51749999999999996</v>
      </c>
      <c r="M2" s="2">
        <v>0.52300000000000002</v>
      </c>
      <c r="N2" s="2">
        <v>0.51480000000000004</v>
      </c>
      <c r="O2" s="2">
        <v>0.51149999999999995</v>
      </c>
      <c r="P2" s="2">
        <v>0.49680000000000002</v>
      </c>
      <c r="Q2" s="2">
        <v>0.51629999999999998</v>
      </c>
      <c r="R2" s="2">
        <v>0.50390000000000001</v>
      </c>
      <c r="S2" s="2">
        <v>0.50129999999999997</v>
      </c>
      <c r="T2" s="2">
        <v>0.52090000000000003</v>
      </c>
      <c r="U2" s="2">
        <v>0.51649999999999996</v>
      </c>
      <c r="V2" s="2">
        <v>0.51590000000000003</v>
      </c>
      <c r="W2" s="2">
        <v>0.53190000000000004</v>
      </c>
      <c r="X2" s="2">
        <f t="shared" ref="X2:X41" si="0">AVERAGE(D2:W2)</f>
        <v>0.51716000000000006</v>
      </c>
      <c r="Y2" s="2">
        <f>_xlfn.STDEV.S(D2:W2)</f>
        <v>1.261291735525634E-2</v>
      </c>
      <c r="Z2" s="2">
        <f t="shared" ref="Z2:Z41" si="1">IFERROR(Y2/ABS(X2)*100,"")</f>
        <v>2.4388810726383205</v>
      </c>
      <c r="AA2" s="2">
        <f t="shared" ref="AA2:AA41" si="2">MIN(D2:W2)</f>
        <v>0.49430000000000002</v>
      </c>
      <c r="AB2" s="2">
        <f t="shared" ref="AB2:AB41" si="3">MAX(D2:W2)</f>
        <v>0.54220000000000002</v>
      </c>
    </row>
    <row r="3" spans="1:28" x14ac:dyDescent="0.25">
      <c r="A3" t="s">
        <v>28</v>
      </c>
      <c r="B3" t="s">
        <v>29</v>
      </c>
      <c r="C3" t="s">
        <v>31</v>
      </c>
      <c r="D3" s="2">
        <v>0.6673</v>
      </c>
      <c r="E3" s="2">
        <v>0.67290000000000005</v>
      </c>
      <c r="F3" s="2">
        <v>0.69579999999999997</v>
      </c>
      <c r="G3" s="2">
        <v>0.7056</v>
      </c>
      <c r="H3" s="2">
        <v>0.68720000000000003</v>
      </c>
      <c r="I3" s="2">
        <v>0.69599999999999995</v>
      </c>
      <c r="J3" s="2">
        <v>0.70760000000000001</v>
      </c>
      <c r="K3" s="2">
        <v>0.67879999999999996</v>
      </c>
      <c r="L3" s="2">
        <v>0.69159999999999999</v>
      </c>
      <c r="M3" s="2">
        <v>0.65290000000000004</v>
      </c>
      <c r="N3" s="2">
        <v>0.68389999999999995</v>
      </c>
      <c r="O3" s="2">
        <v>0.68369999999999997</v>
      </c>
      <c r="P3" s="2">
        <v>0.69179999999999997</v>
      </c>
      <c r="Q3" s="2">
        <v>0.69140000000000001</v>
      </c>
      <c r="R3" s="2">
        <v>0.68720000000000003</v>
      </c>
      <c r="S3" s="2">
        <v>0.66090000000000004</v>
      </c>
      <c r="T3" s="2">
        <v>0.68510000000000004</v>
      </c>
      <c r="U3" s="2">
        <v>0.68089999999999995</v>
      </c>
      <c r="V3" s="2">
        <v>0.69379999999999997</v>
      </c>
      <c r="W3" s="2">
        <v>0.66710000000000003</v>
      </c>
      <c r="X3" s="2">
        <f t="shared" si="0"/>
        <v>0.68407499999999999</v>
      </c>
      <c r="Y3" s="2">
        <f t="shared" ref="Y3:Y41" si="4">_xlfn.STDEV.S(D3:W3)</f>
        <v>1.4184902092310001E-2</v>
      </c>
      <c r="Z3" s="2">
        <f t="shared" si="1"/>
        <v>2.0735887281818512</v>
      </c>
      <c r="AA3" s="2">
        <f t="shared" si="2"/>
        <v>0.65290000000000004</v>
      </c>
      <c r="AB3" s="2">
        <f t="shared" si="3"/>
        <v>0.70760000000000001</v>
      </c>
    </row>
    <row r="4" spans="1:28" x14ac:dyDescent="0.25">
      <c r="A4" t="s">
        <v>28</v>
      </c>
      <c r="B4" t="s">
        <v>29</v>
      </c>
      <c r="C4" t="s">
        <v>32</v>
      </c>
      <c r="D4" s="2">
        <v>4.4088000000000003</v>
      </c>
      <c r="E4" s="2">
        <v>4.3124000000000002</v>
      </c>
      <c r="F4" s="2">
        <v>4.4442000000000004</v>
      </c>
      <c r="G4" s="2">
        <v>4.3680000000000003</v>
      </c>
      <c r="H4" s="2">
        <v>4.2257999999999996</v>
      </c>
      <c r="I4" s="2">
        <v>4.5693999999999999</v>
      </c>
      <c r="J4" s="2">
        <v>4.2557999999999998</v>
      </c>
      <c r="K4" s="2">
        <v>4.2496</v>
      </c>
      <c r="L4" s="2">
        <v>4.0544000000000002</v>
      </c>
      <c r="M4" s="2">
        <v>4.4265999999999996</v>
      </c>
      <c r="N4" s="2">
        <v>4.2465999999999999</v>
      </c>
      <c r="O4" s="2">
        <v>4.1703999999999999</v>
      </c>
      <c r="P4" s="2">
        <v>4.5029000000000003</v>
      </c>
      <c r="Q4" s="2">
        <v>4.2228000000000003</v>
      </c>
      <c r="R4" s="2">
        <v>4.2572999999999999</v>
      </c>
      <c r="S4" s="2">
        <v>4.3879999999999999</v>
      </c>
      <c r="T4" s="2">
        <v>4.8259999999999996</v>
      </c>
      <c r="U4" s="2">
        <v>4.4462000000000002</v>
      </c>
      <c r="V4" s="2">
        <v>4.6131000000000002</v>
      </c>
      <c r="W4" s="2">
        <v>4.4996</v>
      </c>
      <c r="X4" s="2">
        <f t="shared" si="0"/>
        <v>4.3743950000000007</v>
      </c>
      <c r="Y4" s="2">
        <f t="shared" si="4"/>
        <v>0.17739410621847793</v>
      </c>
      <c r="Z4" s="2">
        <f t="shared" si="1"/>
        <v>4.0552832155870213</v>
      </c>
      <c r="AA4" s="2">
        <f t="shared" si="2"/>
        <v>4.0544000000000002</v>
      </c>
      <c r="AB4" s="2">
        <f t="shared" si="3"/>
        <v>4.8259999999999996</v>
      </c>
    </row>
    <row r="5" spans="1:28" x14ac:dyDescent="0.25">
      <c r="A5" t="s">
        <v>28</v>
      </c>
      <c r="B5" t="s">
        <v>29</v>
      </c>
      <c r="C5" t="s">
        <v>33</v>
      </c>
      <c r="D5" s="2">
        <v>0.92010000000000003</v>
      </c>
      <c r="E5" s="2">
        <v>0.9133</v>
      </c>
      <c r="F5" s="2">
        <v>0.90780000000000005</v>
      </c>
      <c r="G5" s="2">
        <v>0.91139999999999999</v>
      </c>
      <c r="H5" s="2">
        <v>0.91449999999999998</v>
      </c>
      <c r="I5" s="2">
        <v>0.91220000000000001</v>
      </c>
      <c r="J5" s="2">
        <v>0.91239999999999999</v>
      </c>
      <c r="K5" s="2">
        <v>0.91479999999999995</v>
      </c>
      <c r="L5" s="2">
        <v>0.91979999999999995</v>
      </c>
      <c r="M5" s="2">
        <v>0.91190000000000004</v>
      </c>
      <c r="N5" s="2">
        <v>0.91830000000000001</v>
      </c>
      <c r="O5" s="2">
        <v>0.91820000000000002</v>
      </c>
      <c r="P5" s="2">
        <v>0.91239999999999999</v>
      </c>
      <c r="Q5" s="2">
        <v>0.91790000000000005</v>
      </c>
      <c r="R5" s="2">
        <v>0.90969999999999995</v>
      </c>
      <c r="S5" s="2">
        <v>0.91159999999999997</v>
      </c>
      <c r="T5" s="2">
        <v>0.91190000000000004</v>
      </c>
      <c r="U5" s="2">
        <v>0.91649999999999998</v>
      </c>
      <c r="V5" s="2">
        <v>0.90859999999999996</v>
      </c>
      <c r="W5" s="2">
        <v>0.91759999999999997</v>
      </c>
      <c r="X5" s="2">
        <f t="shared" si="0"/>
        <v>0.914045</v>
      </c>
      <c r="Y5" s="2">
        <f t="shared" si="4"/>
        <v>3.6887417623728668E-3</v>
      </c>
      <c r="Z5" s="2">
        <f t="shared" si="1"/>
        <v>0.40356238066756744</v>
      </c>
      <c r="AA5" s="2">
        <f t="shared" si="2"/>
        <v>0.90780000000000005</v>
      </c>
      <c r="AB5" s="2">
        <f t="shared" si="3"/>
        <v>0.92010000000000003</v>
      </c>
    </row>
    <row r="6" spans="1:28" x14ac:dyDescent="0.25">
      <c r="A6" t="s">
        <v>28</v>
      </c>
      <c r="B6" t="s">
        <v>29</v>
      </c>
      <c r="C6" t="s">
        <v>34</v>
      </c>
      <c r="D6" s="2">
        <v>0.1668</v>
      </c>
      <c r="E6" s="2">
        <v>0.15679999999999999</v>
      </c>
      <c r="F6" s="2">
        <v>0.1671</v>
      </c>
      <c r="G6" s="2">
        <v>0.15790000000000001</v>
      </c>
      <c r="H6" s="2">
        <v>0.1603</v>
      </c>
      <c r="I6" s="2">
        <v>0.1646</v>
      </c>
      <c r="J6" s="2">
        <v>0.16039999999999999</v>
      </c>
      <c r="K6" s="2">
        <v>0.1613</v>
      </c>
      <c r="L6" s="2">
        <v>0.161</v>
      </c>
      <c r="M6" s="2">
        <v>0.1736</v>
      </c>
      <c r="N6" s="2">
        <v>0.15260000000000001</v>
      </c>
      <c r="O6" s="2">
        <v>0.16550000000000001</v>
      </c>
      <c r="P6" s="2">
        <v>0.1603</v>
      </c>
      <c r="Q6" s="2">
        <v>0.1646</v>
      </c>
      <c r="R6" s="2">
        <v>0.1714</v>
      </c>
      <c r="S6" s="2">
        <v>0.16400000000000001</v>
      </c>
      <c r="T6" s="2">
        <v>0.16520000000000001</v>
      </c>
      <c r="U6" s="2">
        <v>0.16120000000000001</v>
      </c>
      <c r="V6" s="2">
        <v>0.1643</v>
      </c>
      <c r="W6" s="2">
        <v>0.1623</v>
      </c>
      <c r="X6" s="2">
        <f t="shared" si="0"/>
        <v>0.16306000000000004</v>
      </c>
      <c r="Y6" s="2">
        <f t="shared" si="4"/>
        <v>4.7989472529756036E-3</v>
      </c>
      <c r="Z6" s="2">
        <f t="shared" si="1"/>
        <v>2.9430560854750416</v>
      </c>
      <c r="AA6" s="2">
        <f t="shared" si="2"/>
        <v>0.15260000000000001</v>
      </c>
      <c r="AB6" s="2">
        <f t="shared" si="3"/>
        <v>0.1736</v>
      </c>
    </row>
    <row r="7" spans="1:28" x14ac:dyDescent="0.25">
      <c r="A7" t="s">
        <v>28</v>
      </c>
      <c r="B7" t="s">
        <v>35</v>
      </c>
      <c r="C7" t="s">
        <v>30</v>
      </c>
      <c r="D7" s="2">
        <v>0.61180000000000001</v>
      </c>
      <c r="E7" s="2">
        <v>0.64349999999999996</v>
      </c>
      <c r="F7" s="2">
        <v>0.68059999999999998</v>
      </c>
      <c r="G7" s="2">
        <v>0.66539999999999999</v>
      </c>
      <c r="H7" s="2">
        <v>0.63729999999999998</v>
      </c>
      <c r="I7" s="2">
        <v>0.64470000000000005</v>
      </c>
      <c r="J7" s="2">
        <v>0.65880000000000005</v>
      </c>
      <c r="K7" s="2">
        <v>0.60260000000000002</v>
      </c>
      <c r="L7" s="2">
        <v>0.60909999999999997</v>
      </c>
      <c r="M7" s="2">
        <v>0.62480000000000002</v>
      </c>
      <c r="N7" s="2">
        <v>0.58169999999999999</v>
      </c>
      <c r="O7" s="2">
        <v>0.61119999999999997</v>
      </c>
      <c r="P7" s="2">
        <v>0.58909999999999996</v>
      </c>
      <c r="Q7" s="2">
        <v>0.68920000000000003</v>
      </c>
      <c r="R7" s="2">
        <v>0.64800000000000002</v>
      </c>
      <c r="S7" s="2">
        <v>0.65069999999999995</v>
      </c>
      <c r="T7" s="2">
        <v>0.66930000000000001</v>
      </c>
      <c r="U7" s="2">
        <v>0.63480000000000003</v>
      </c>
      <c r="V7" s="2">
        <v>0.6129</v>
      </c>
      <c r="W7" s="2">
        <v>0.59940000000000004</v>
      </c>
      <c r="X7" s="2">
        <f t="shared" si="0"/>
        <v>0.63324499999999995</v>
      </c>
      <c r="Y7" s="2">
        <f t="shared" si="4"/>
        <v>3.0644317323290569E-2</v>
      </c>
      <c r="Z7" s="2">
        <f t="shared" si="1"/>
        <v>4.8392513676840041</v>
      </c>
      <c r="AA7" s="2">
        <f t="shared" si="2"/>
        <v>0.58169999999999999</v>
      </c>
      <c r="AB7" s="2">
        <f t="shared" si="3"/>
        <v>0.68920000000000003</v>
      </c>
    </row>
    <row r="8" spans="1:28" x14ac:dyDescent="0.25">
      <c r="A8" t="s">
        <v>28</v>
      </c>
      <c r="B8" t="s">
        <v>35</v>
      </c>
      <c r="C8" t="s">
        <v>31</v>
      </c>
      <c r="D8" s="2">
        <v>0.8659</v>
      </c>
      <c r="E8" s="2">
        <v>0.82569999999999999</v>
      </c>
      <c r="F8" s="2">
        <v>0.84289999999999998</v>
      </c>
      <c r="G8" s="2">
        <v>0.81100000000000005</v>
      </c>
      <c r="H8" s="2">
        <v>0.85270000000000001</v>
      </c>
      <c r="I8" s="2">
        <v>0.87509999999999999</v>
      </c>
      <c r="J8" s="2">
        <v>0.83699999999999997</v>
      </c>
      <c r="K8" s="2">
        <v>0.82440000000000002</v>
      </c>
      <c r="L8" s="2">
        <v>0.82450000000000001</v>
      </c>
      <c r="M8" s="2">
        <v>0.86099999999999999</v>
      </c>
      <c r="N8" s="2">
        <v>0.84509999999999996</v>
      </c>
      <c r="O8" s="2">
        <v>0.83679999999999999</v>
      </c>
      <c r="P8" s="2">
        <v>0.80359999999999998</v>
      </c>
      <c r="Q8" s="2">
        <v>0.82630000000000003</v>
      </c>
      <c r="R8" s="2">
        <v>0.83860000000000001</v>
      </c>
      <c r="S8" s="2">
        <v>0.85809999999999997</v>
      </c>
      <c r="T8" s="2">
        <v>0.85919999999999996</v>
      </c>
      <c r="U8" s="2">
        <v>0.84950000000000003</v>
      </c>
      <c r="V8" s="2">
        <v>0.84050000000000002</v>
      </c>
      <c r="W8" s="2">
        <v>0.81259999999999999</v>
      </c>
      <c r="X8" s="2">
        <f t="shared" si="0"/>
        <v>0.83952500000000008</v>
      </c>
      <c r="Y8" s="2">
        <f t="shared" si="4"/>
        <v>1.9379149810257953E-2</v>
      </c>
      <c r="Z8" s="2">
        <f t="shared" si="1"/>
        <v>2.3083469593231829</v>
      </c>
      <c r="AA8" s="2">
        <f t="shared" si="2"/>
        <v>0.80359999999999998</v>
      </c>
      <c r="AB8" s="2">
        <f t="shared" si="3"/>
        <v>0.87509999999999999</v>
      </c>
    </row>
    <row r="9" spans="1:28" x14ac:dyDescent="0.25">
      <c r="A9" t="s">
        <v>28</v>
      </c>
      <c r="B9" t="s">
        <v>35</v>
      </c>
      <c r="C9" t="s">
        <v>32</v>
      </c>
      <c r="D9" s="2">
        <v>5.5544000000000002</v>
      </c>
      <c r="E9" s="2">
        <v>5.5998999999999999</v>
      </c>
      <c r="F9" s="2">
        <v>5.2645999999999997</v>
      </c>
      <c r="G9" s="2">
        <v>5.4646999999999997</v>
      </c>
      <c r="H9" s="2">
        <v>5.8196000000000003</v>
      </c>
      <c r="I9" s="2">
        <v>5.6075999999999997</v>
      </c>
      <c r="J9" s="2">
        <v>5.2103999999999999</v>
      </c>
      <c r="K9" s="2">
        <v>5.1932999999999998</v>
      </c>
      <c r="L9" s="2">
        <v>4.9593999999999996</v>
      </c>
      <c r="M9" s="2">
        <v>4.7234999999999996</v>
      </c>
      <c r="N9" s="2">
        <v>5.4131</v>
      </c>
      <c r="O9" s="2">
        <v>5.1304999999999996</v>
      </c>
      <c r="P9" s="2">
        <v>5.4696999999999996</v>
      </c>
      <c r="Q9" s="2">
        <v>5.2929000000000004</v>
      </c>
      <c r="R9" s="2">
        <v>5.6894999999999998</v>
      </c>
      <c r="S9" s="2">
        <v>5.1276999999999999</v>
      </c>
      <c r="T9" s="2">
        <v>4.9668000000000001</v>
      </c>
      <c r="U9" s="2">
        <v>5.3319000000000001</v>
      </c>
      <c r="V9" s="2">
        <v>5.6994999999999996</v>
      </c>
      <c r="W9" s="2">
        <v>4.9363000000000001</v>
      </c>
      <c r="X9" s="2">
        <f t="shared" si="0"/>
        <v>5.3227650000000013</v>
      </c>
      <c r="Y9" s="2">
        <f t="shared" si="4"/>
        <v>0.29564692540258225</v>
      </c>
      <c r="Z9" s="2">
        <f t="shared" si="1"/>
        <v>5.5543862147320464</v>
      </c>
      <c r="AA9" s="2">
        <f t="shared" si="2"/>
        <v>4.7234999999999996</v>
      </c>
      <c r="AB9" s="2">
        <f t="shared" si="3"/>
        <v>5.8196000000000003</v>
      </c>
    </row>
    <row r="10" spans="1:28" x14ac:dyDescent="0.25">
      <c r="A10" t="s">
        <v>28</v>
      </c>
      <c r="B10" t="s">
        <v>35</v>
      </c>
      <c r="C10" t="s">
        <v>33</v>
      </c>
      <c r="D10" s="2">
        <v>0.89190000000000003</v>
      </c>
      <c r="E10" s="2">
        <v>0.89370000000000005</v>
      </c>
      <c r="F10" s="2">
        <v>0.89670000000000005</v>
      </c>
      <c r="G10" s="2">
        <v>0.89749999999999996</v>
      </c>
      <c r="H10" s="2">
        <v>0.88649999999999995</v>
      </c>
      <c r="I10" s="2">
        <v>0.89500000000000002</v>
      </c>
      <c r="J10" s="2">
        <v>0.88939999999999997</v>
      </c>
      <c r="K10" s="2">
        <v>0.88970000000000005</v>
      </c>
      <c r="L10" s="2">
        <v>0.89080000000000004</v>
      </c>
      <c r="M10" s="2">
        <v>0.89470000000000005</v>
      </c>
      <c r="N10" s="2">
        <v>0.88870000000000005</v>
      </c>
      <c r="O10" s="2">
        <v>0.89</v>
      </c>
      <c r="P10" s="2">
        <v>0.88839999999999997</v>
      </c>
      <c r="Q10" s="2">
        <v>0.89249999999999996</v>
      </c>
      <c r="R10" s="2">
        <v>0.89490000000000003</v>
      </c>
      <c r="S10" s="2">
        <v>0.88529999999999998</v>
      </c>
      <c r="T10" s="2">
        <v>0.89380000000000004</v>
      </c>
      <c r="U10" s="2">
        <v>0.89</v>
      </c>
      <c r="V10" s="2">
        <v>0.89390000000000003</v>
      </c>
      <c r="W10" s="2">
        <v>0.89480000000000004</v>
      </c>
      <c r="X10" s="2">
        <f t="shared" si="0"/>
        <v>0.89190999999999998</v>
      </c>
      <c r="Y10" s="2">
        <f t="shared" si="4"/>
        <v>3.3654435853711592E-3</v>
      </c>
      <c r="Z10" s="2">
        <f t="shared" si="1"/>
        <v>0.37732995317589885</v>
      </c>
      <c r="AA10" s="2">
        <f t="shared" si="2"/>
        <v>0.88529999999999998</v>
      </c>
      <c r="AB10" s="2">
        <f t="shared" si="3"/>
        <v>0.89749999999999996</v>
      </c>
    </row>
    <row r="11" spans="1:28" x14ac:dyDescent="0.25">
      <c r="A11" t="s">
        <v>28</v>
      </c>
      <c r="B11" t="s">
        <v>35</v>
      </c>
      <c r="C11" t="s">
        <v>34</v>
      </c>
      <c r="D11" s="2">
        <v>0.21859999999999999</v>
      </c>
      <c r="E11" s="2">
        <v>0.1933</v>
      </c>
      <c r="F11" s="2">
        <v>0.22020000000000001</v>
      </c>
      <c r="G11" s="2">
        <v>0.19839999999999999</v>
      </c>
      <c r="H11" s="2">
        <v>0.18840000000000001</v>
      </c>
      <c r="I11" s="2">
        <v>0.21099999999999999</v>
      </c>
      <c r="J11" s="2">
        <v>0.19209999999999999</v>
      </c>
      <c r="K11" s="2">
        <v>0.20150000000000001</v>
      </c>
      <c r="L11" s="2">
        <v>0.20569999999999999</v>
      </c>
      <c r="M11" s="2">
        <v>0.2145</v>
      </c>
      <c r="N11" s="2">
        <v>0.20580000000000001</v>
      </c>
      <c r="O11" s="2">
        <v>0.1978</v>
      </c>
      <c r="P11" s="2">
        <v>0.19439999999999999</v>
      </c>
      <c r="Q11" s="2">
        <v>0.1991</v>
      </c>
      <c r="R11" s="2">
        <v>0.18029999999999999</v>
      </c>
      <c r="S11" s="2">
        <v>0.219</v>
      </c>
      <c r="T11" s="2">
        <v>0.17860000000000001</v>
      </c>
      <c r="U11" s="2">
        <v>0.21779999999999999</v>
      </c>
      <c r="V11" s="2">
        <v>0.22140000000000001</v>
      </c>
      <c r="W11" s="2">
        <v>0.20300000000000001</v>
      </c>
      <c r="X11" s="2">
        <f t="shared" si="0"/>
        <v>0.20304499999999998</v>
      </c>
      <c r="Y11" s="2">
        <f t="shared" si="4"/>
        <v>1.3059518609649802E-2</v>
      </c>
      <c r="Z11" s="2">
        <f t="shared" si="1"/>
        <v>6.4318346226943799</v>
      </c>
      <c r="AA11" s="2">
        <f t="shared" si="2"/>
        <v>0.17860000000000001</v>
      </c>
      <c r="AB11" s="2">
        <f t="shared" si="3"/>
        <v>0.22140000000000001</v>
      </c>
    </row>
    <row r="12" spans="1:28" x14ac:dyDescent="0.25">
      <c r="A12" t="s">
        <v>28</v>
      </c>
      <c r="B12" t="s">
        <v>36</v>
      </c>
      <c r="C12" t="s">
        <v>30</v>
      </c>
      <c r="D12" s="2">
        <v>0.53600000000000003</v>
      </c>
      <c r="E12" s="2">
        <v>0.57079999999999997</v>
      </c>
      <c r="F12" s="2">
        <v>0.57040000000000002</v>
      </c>
      <c r="G12" s="2">
        <v>0.53739999999999999</v>
      </c>
      <c r="H12" s="2">
        <v>0.53469999999999995</v>
      </c>
      <c r="I12" s="2">
        <v>0.56840000000000002</v>
      </c>
      <c r="J12" s="2">
        <v>0.55969999999999998</v>
      </c>
      <c r="K12" s="2">
        <v>0.59940000000000004</v>
      </c>
      <c r="L12" s="2">
        <v>0.55120000000000002</v>
      </c>
      <c r="M12" s="2">
        <v>0.58189999999999997</v>
      </c>
      <c r="N12" s="2">
        <v>0.61870000000000003</v>
      </c>
      <c r="O12" s="2">
        <v>0.55389999999999995</v>
      </c>
      <c r="P12" s="2">
        <v>0.5726</v>
      </c>
      <c r="Q12" s="2">
        <v>0.5544</v>
      </c>
      <c r="R12" s="2">
        <v>0.53459999999999996</v>
      </c>
      <c r="S12" s="2">
        <v>0.54269999999999996</v>
      </c>
      <c r="T12" s="2">
        <v>0.57569999999999999</v>
      </c>
      <c r="U12" s="2">
        <v>0.5444</v>
      </c>
      <c r="V12" s="2">
        <v>0.51129999999999998</v>
      </c>
      <c r="W12" s="2">
        <v>0.58330000000000004</v>
      </c>
      <c r="X12" s="2">
        <f t="shared" si="0"/>
        <v>0.56007499999999999</v>
      </c>
      <c r="Y12" s="2">
        <f t="shared" si="4"/>
        <v>2.5291456327342948E-2</v>
      </c>
      <c r="Z12" s="2">
        <f t="shared" si="1"/>
        <v>4.5157267021993395</v>
      </c>
      <c r="AA12" s="2">
        <f t="shared" si="2"/>
        <v>0.51129999999999998</v>
      </c>
      <c r="AB12" s="2">
        <f t="shared" si="3"/>
        <v>0.61870000000000003</v>
      </c>
    </row>
    <row r="13" spans="1:28" x14ac:dyDescent="0.25">
      <c r="A13" t="s">
        <v>28</v>
      </c>
      <c r="B13" t="s">
        <v>36</v>
      </c>
      <c r="C13" t="s">
        <v>31</v>
      </c>
      <c r="D13" s="2">
        <v>0.71179999999999999</v>
      </c>
      <c r="E13" s="2">
        <v>0.74060000000000004</v>
      </c>
      <c r="F13" s="2">
        <v>0.76139999999999997</v>
      </c>
      <c r="G13" s="2">
        <v>0.75890000000000002</v>
      </c>
      <c r="H13" s="2">
        <v>0.74929999999999997</v>
      </c>
      <c r="I13" s="2">
        <v>0.70950000000000002</v>
      </c>
      <c r="J13" s="2">
        <v>0.77170000000000005</v>
      </c>
      <c r="K13" s="2">
        <v>0.74839999999999995</v>
      </c>
      <c r="L13" s="2">
        <v>0.69369999999999998</v>
      </c>
      <c r="M13" s="2">
        <v>0.74170000000000003</v>
      </c>
      <c r="N13" s="2">
        <v>0.75090000000000001</v>
      </c>
      <c r="O13" s="2">
        <v>0.71970000000000001</v>
      </c>
      <c r="P13" s="2">
        <v>0.72019999999999995</v>
      </c>
      <c r="Q13" s="2">
        <v>0.74619999999999997</v>
      </c>
      <c r="R13" s="2">
        <v>0.7621</v>
      </c>
      <c r="S13" s="2">
        <v>0.72030000000000005</v>
      </c>
      <c r="T13" s="2">
        <v>0.73499999999999999</v>
      </c>
      <c r="U13" s="2">
        <v>0.77170000000000005</v>
      </c>
      <c r="V13" s="2">
        <v>0.7359</v>
      </c>
      <c r="W13" s="2">
        <v>0.76719999999999999</v>
      </c>
      <c r="X13" s="2">
        <f t="shared" si="0"/>
        <v>0.74080999999999997</v>
      </c>
      <c r="Y13" s="2">
        <f t="shared" si="4"/>
        <v>2.2314543286952201E-2</v>
      </c>
      <c r="Z13" s="2">
        <f t="shared" si="1"/>
        <v>3.0121817047491528</v>
      </c>
      <c r="AA13" s="2">
        <f t="shared" si="2"/>
        <v>0.69369999999999998</v>
      </c>
      <c r="AB13" s="2">
        <f t="shared" si="3"/>
        <v>0.77170000000000005</v>
      </c>
    </row>
    <row r="14" spans="1:28" x14ac:dyDescent="0.25">
      <c r="A14" t="s">
        <v>28</v>
      </c>
      <c r="B14" t="s">
        <v>36</v>
      </c>
      <c r="C14" t="s">
        <v>32</v>
      </c>
      <c r="D14" s="2">
        <v>4.6573000000000002</v>
      </c>
      <c r="E14" s="2">
        <v>4.5377999999999998</v>
      </c>
      <c r="F14" s="2">
        <v>4.5663999999999998</v>
      </c>
      <c r="G14" s="2">
        <v>4.8509000000000002</v>
      </c>
      <c r="H14" s="2">
        <v>4.6153000000000004</v>
      </c>
      <c r="I14" s="2">
        <v>4.7339000000000002</v>
      </c>
      <c r="J14" s="2">
        <v>4.9160000000000004</v>
      </c>
      <c r="K14" s="2">
        <v>4.3696000000000002</v>
      </c>
      <c r="L14" s="2">
        <v>4.7747000000000002</v>
      </c>
      <c r="M14" s="2">
        <v>4.7544000000000004</v>
      </c>
      <c r="N14" s="2">
        <v>4.9290000000000003</v>
      </c>
      <c r="O14" s="2">
        <v>4.6433</v>
      </c>
      <c r="P14" s="2">
        <v>4.9100999999999999</v>
      </c>
      <c r="Q14" s="2">
        <v>4.8226000000000004</v>
      </c>
      <c r="R14" s="2">
        <v>4.9253999999999998</v>
      </c>
      <c r="S14" s="2">
        <v>4.7114000000000003</v>
      </c>
      <c r="T14" s="2">
        <v>4.7811000000000003</v>
      </c>
      <c r="U14" s="2">
        <v>4.5129000000000001</v>
      </c>
      <c r="V14" s="2">
        <v>5.1157000000000004</v>
      </c>
      <c r="W14" s="2">
        <v>4.6428000000000003</v>
      </c>
      <c r="X14" s="2">
        <f t="shared" si="0"/>
        <v>4.738529999999999</v>
      </c>
      <c r="Y14" s="2">
        <f t="shared" si="4"/>
        <v>0.17698785596163016</v>
      </c>
      <c r="Z14" s="2">
        <f t="shared" si="1"/>
        <v>3.7350793592449598</v>
      </c>
      <c r="AA14" s="2">
        <f t="shared" si="2"/>
        <v>4.3696000000000002</v>
      </c>
      <c r="AB14" s="2">
        <f t="shared" si="3"/>
        <v>5.1157000000000004</v>
      </c>
    </row>
    <row r="15" spans="1:28" x14ac:dyDescent="0.25">
      <c r="A15" t="s">
        <v>28</v>
      </c>
      <c r="B15" t="s">
        <v>36</v>
      </c>
      <c r="C15" t="s">
        <v>33</v>
      </c>
      <c r="D15" s="2">
        <v>0.90280000000000005</v>
      </c>
      <c r="E15" s="2">
        <v>0.91159999999999997</v>
      </c>
      <c r="F15" s="2">
        <v>0.90410000000000001</v>
      </c>
      <c r="G15" s="2">
        <v>0.90459999999999996</v>
      </c>
      <c r="H15" s="2">
        <v>0.90359999999999996</v>
      </c>
      <c r="I15" s="2">
        <v>0.90500000000000003</v>
      </c>
      <c r="J15" s="2">
        <v>0.90880000000000005</v>
      </c>
      <c r="K15" s="2">
        <v>0.89790000000000003</v>
      </c>
      <c r="L15" s="2">
        <v>0.90290000000000004</v>
      </c>
      <c r="M15" s="2">
        <v>0.90629999999999999</v>
      </c>
      <c r="N15" s="2">
        <v>0.8992</v>
      </c>
      <c r="O15" s="2">
        <v>0.91080000000000005</v>
      </c>
      <c r="P15" s="2">
        <v>0.90559999999999996</v>
      </c>
      <c r="Q15" s="2">
        <v>0.90069999999999995</v>
      </c>
      <c r="R15" s="2">
        <v>0.90769999999999995</v>
      </c>
      <c r="S15" s="2">
        <v>0.90610000000000002</v>
      </c>
      <c r="T15" s="2">
        <v>0.90349999999999997</v>
      </c>
      <c r="U15" s="2">
        <v>0.90820000000000001</v>
      </c>
      <c r="V15" s="2">
        <v>0.9123</v>
      </c>
      <c r="W15" s="2">
        <v>0.89870000000000005</v>
      </c>
      <c r="X15" s="2">
        <f t="shared" si="0"/>
        <v>0.90502000000000005</v>
      </c>
      <c r="Y15" s="2">
        <f t="shared" si="4"/>
        <v>4.119095455123737E-3</v>
      </c>
      <c r="Z15" s="2">
        <f t="shared" si="1"/>
        <v>0.45513861076260603</v>
      </c>
      <c r="AA15" s="2">
        <f t="shared" si="2"/>
        <v>0.89790000000000003</v>
      </c>
      <c r="AB15" s="2">
        <f t="shared" si="3"/>
        <v>0.9123</v>
      </c>
    </row>
    <row r="16" spans="1:28" x14ac:dyDescent="0.25">
      <c r="A16" t="s">
        <v>28</v>
      </c>
      <c r="B16" t="s">
        <v>36</v>
      </c>
      <c r="C16" t="s">
        <v>34</v>
      </c>
      <c r="D16" s="2">
        <v>0.19570000000000001</v>
      </c>
      <c r="E16" s="2">
        <v>0.15659999999999999</v>
      </c>
      <c r="F16" s="2">
        <v>0.1789</v>
      </c>
      <c r="G16" s="2">
        <v>0.18579999999999999</v>
      </c>
      <c r="H16" s="2">
        <v>0.1764</v>
      </c>
      <c r="I16" s="2">
        <v>0.17610000000000001</v>
      </c>
      <c r="J16" s="2">
        <v>0.1676</v>
      </c>
      <c r="K16" s="2">
        <v>0.16980000000000001</v>
      </c>
      <c r="L16" s="2">
        <v>0.18240000000000001</v>
      </c>
      <c r="M16" s="2">
        <v>0.1686</v>
      </c>
      <c r="N16" s="2">
        <v>0.1958</v>
      </c>
      <c r="O16" s="2">
        <v>0.18099999999999999</v>
      </c>
      <c r="P16" s="2">
        <v>0.16769999999999999</v>
      </c>
      <c r="Q16" s="2">
        <v>0.18240000000000001</v>
      </c>
      <c r="R16" s="2">
        <v>0.16919999999999999</v>
      </c>
      <c r="S16" s="2">
        <v>0.16159999999999999</v>
      </c>
      <c r="T16" s="2">
        <v>0.16520000000000001</v>
      </c>
      <c r="U16" s="2">
        <v>0.1822</v>
      </c>
      <c r="V16" s="2">
        <v>0.17180000000000001</v>
      </c>
      <c r="W16" s="2">
        <v>0.1893</v>
      </c>
      <c r="X16" s="2">
        <f t="shared" si="0"/>
        <v>0.17620499999999997</v>
      </c>
      <c r="Y16" s="2">
        <f t="shared" si="4"/>
        <v>1.0768006950416154E-2</v>
      </c>
      <c r="Z16" s="2">
        <f t="shared" si="1"/>
        <v>6.1110677622179592</v>
      </c>
      <c r="AA16" s="2">
        <f t="shared" si="2"/>
        <v>0.15659999999999999</v>
      </c>
      <c r="AB16" s="2">
        <f t="shared" si="3"/>
        <v>0.1958</v>
      </c>
    </row>
    <row r="17" spans="1:28" x14ac:dyDescent="0.25">
      <c r="A17" t="s">
        <v>28</v>
      </c>
      <c r="B17" t="s">
        <v>37</v>
      </c>
      <c r="C17" t="s">
        <v>30</v>
      </c>
      <c r="D17" s="2">
        <v>0.52610000000000001</v>
      </c>
      <c r="E17" s="2">
        <v>0.53210000000000002</v>
      </c>
      <c r="F17" s="2">
        <v>0.55520000000000003</v>
      </c>
      <c r="G17" s="2">
        <v>0.55159999999999998</v>
      </c>
      <c r="H17" s="2">
        <v>0.54759999999999998</v>
      </c>
      <c r="I17" s="2">
        <v>0.54330000000000001</v>
      </c>
      <c r="J17" s="2">
        <v>0.54259999999999997</v>
      </c>
      <c r="K17" s="2">
        <v>0.54969999999999997</v>
      </c>
      <c r="L17" s="2">
        <v>0.55459999999999998</v>
      </c>
      <c r="M17" s="2">
        <v>0.52410000000000001</v>
      </c>
      <c r="N17" s="2">
        <v>0.53869999999999996</v>
      </c>
      <c r="O17" s="2">
        <v>0.58260000000000001</v>
      </c>
      <c r="P17" s="2">
        <v>0.52759999999999996</v>
      </c>
      <c r="Q17" s="2">
        <v>0.51670000000000005</v>
      </c>
      <c r="R17" s="2">
        <v>0.54420000000000002</v>
      </c>
      <c r="S17" s="2">
        <v>0.53459999999999996</v>
      </c>
      <c r="T17" s="2">
        <v>0.56230000000000002</v>
      </c>
      <c r="U17" s="2">
        <v>0.57330000000000003</v>
      </c>
      <c r="V17" s="2">
        <v>0.56310000000000004</v>
      </c>
      <c r="W17" s="2">
        <v>0.53300000000000003</v>
      </c>
      <c r="X17" s="2">
        <f t="shared" si="0"/>
        <v>0.5451499999999998</v>
      </c>
      <c r="Y17" s="2">
        <f t="shared" si="4"/>
        <v>1.6975105611639531E-2</v>
      </c>
      <c r="Z17" s="2">
        <f t="shared" si="1"/>
        <v>3.1138412568356486</v>
      </c>
      <c r="AA17" s="2">
        <f t="shared" si="2"/>
        <v>0.51670000000000005</v>
      </c>
      <c r="AB17" s="2">
        <f t="shared" si="3"/>
        <v>0.58260000000000001</v>
      </c>
    </row>
    <row r="18" spans="1:28" x14ac:dyDescent="0.25">
      <c r="A18" t="s">
        <v>28</v>
      </c>
      <c r="B18" t="s">
        <v>37</v>
      </c>
      <c r="C18" t="s">
        <v>31</v>
      </c>
      <c r="D18" s="2">
        <v>0.70369999999999999</v>
      </c>
      <c r="E18" s="2">
        <v>0.69320000000000004</v>
      </c>
      <c r="F18" s="2">
        <v>0.73950000000000005</v>
      </c>
      <c r="G18" s="2">
        <v>0.70430000000000004</v>
      </c>
      <c r="H18" s="2">
        <v>0.72829999999999995</v>
      </c>
      <c r="I18" s="2">
        <v>0.73170000000000002</v>
      </c>
      <c r="J18" s="2">
        <v>0.72589999999999999</v>
      </c>
      <c r="K18" s="2">
        <v>0.72009999999999996</v>
      </c>
      <c r="L18" s="2">
        <v>0.71970000000000001</v>
      </c>
      <c r="M18" s="2">
        <v>0.73029999999999995</v>
      </c>
      <c r="N18" s="2">
        <v>0.72640000000000005</v>
      </c>
      <c r="O18" s="2">
        <v>0.70420000000000005</v>
      </c>
      <c r="P18" s="2">
        <v>0.70150000000000001</v>
      </c>
      <c r="Q18" s="2">
        <v>0.74629999999999996</v>
      </c>
      <c r="R18" s="2">
        <v>0.68540000000000001</v>
      </c>
      <c r="S18" s="2">
        <v>0.74719999999999998</v>
      </c>
      <c r="T18" s="2">
        <v>0.71960000000000002</v>
      </c>
      <c r="U18" s="2">
        <v>0.73360000000000003</v>
      </c>
      <c r="V18" s="2">
        <v>0.74390000000000001</v>
      </c>
      <c r="W18" s="2">
        <v>0.77259999999999995</v>
      </c>
      <c r="X18" s="2">
        <f t="shared" si="0"/>
        <v>0.72387000000000001</v>
      </c>
      <c r="Y18" s="2">
        <f t="shared" si="4"/>
        <v>2.1079476174456355E-2</v>
      </c>
      <c r="Z18" s="2">
        <f t="shared" si="1"/>
        <v>2.9120527407485262</v>
      </c>
      <c r="AA18" s="2">
        <f t="shared" si="2"/>
        <v>0.68540000000000001</v>
      </c>
      <c r="AB18" s="2">
        <f t="shared" si="3"/>
        <v>0.77259999999999995</v>
      </c>
    </row>
    <row r="19" spans="1:28" x14ac:dyDescent="0.25">
      <c r="A19" t="s">
        <v>28</v>
      </c>
      <c r="B19" t="s">
        <v>37</v>
      </c>
      <c r="C19" t="s">
        <v>32</v>
      </c>
      <c r="D19" s="2">
        <v>4.4916999999999998</v>
      </c>
      <c r="E19" s="2">
        <v>4.6749000000000001</v>
      </c>
      <c r="F19" s="2">
        <v>4.5881999999999996</v>
      </c>
      <c r="G19" s="2">
        <v>4.4977</v>
      </c>
      <c r="H19" s="2">
        <v>4.6773999999999996</v>
      </c>
      <c r="I19" s="2">
        <v>4.5961999999999996</v>
      </c>
      <c r="J19" s="2">
        <v>4.6098999999999997</v>
      </c>
      <c r="K19" s="2">
        <v>4.5663999999999998</v>
      </c>
      <c r="L19" s="2">
        <v>4.5555000000000003</v>
      </c>
      <c r="M19" s="2">
        <v>4.5198</v>
      </c>
      <c r="N19" s="2">
        <v>4.5491999999999999</v>
      </c>
      <c r="O19" s="2">
        <v>4.6271000000000004</v>
      </c>
      <c r="P19" s="2">
        <v>4.7319000000000004</v>
      </c>
      <c r="Q19" s="2">
        <v>4.5674000000000001</v>
      </c>
      <c r="R19" s="2">
        <v>4.9490999999999996</v>
      </c>
      <c r="S19" s="2">
        <v>4.7298</v>
      </c>
      <c r="T19" s="2">
        <v>4.5262000000000002</v>
      </c>
      <c r="U19" s="2">
        <v>4.5799000000000003</v>
      </c>
      <c r="V19" s="2">
        <v>4.3639999999999999</v>
      </c>
      <c r="W19" s="2">
        <v>4.5572999999999997</v>
      </c>
      <c r="X19" s="2">
        <f t="shared" si="0"/>
        <v>4.5979799999999997</v>
      </c>
      <c r="Y19" s="2">
        <f t="shared" si="4"/>
        <v>0.1186259694652859</v>
      </c>
      <c r="Z19" s="2">
        <f t="shared" si="1"/>
        <v>2.5799583613953501</v>
      </c>
      <c r="AA19" s="2">
        <f t="shared" si="2"/>
        <v>4.3639999999999999</v>
      </c>
      <c r="AB19" s="2">
        <f t="shared" si="3"/>
        <v>4.9490999999999996</v>
      </c>
    </row>
    <row r="20" spans="1:28" x14ac:dyDescent="0.25">
      <c r="A20" t="s">
        <v>28</v>
      </c>
      <c r="B20" t="s">
        <v>37</v>
      </c>
      <c r="C20" t="s">
        <v>33</v>
      </c>
      <c r="D20" s="2">
        <v>0.90749999999999997</v>
      </c>
      <c r="E20" s="2">
        <v>0.91279999999999994</v>
      </c>
      <c r="F20" s="2">
        <v>0.90739999999999998</v>
      </c>
      <c r="G20" s="2">
        <v>0.90569999999999995</v>
      </c>
      <c r="H20" s="2">
        <v>0.90110000000000001</v>
      </c>
      <c r="I20" s="2">
        <v>0.9083</v>
      </c>
      <c r="J20" s="2">
        <v>0.9093</v>
      </c>
      <c r="K20" s="2">
        <v>0.91610000000000003</v>
      </c>
      <c r="L20" s="2">
        <v>0.91490000000000005</v>
      </c>
      <c r="M20" s="2">
        <v>0.91190000000000004</v>
      </c>
      <c r="N20" s="2">
        <v>0.90329999999999999</v>
      </c>
      <c r="O20" s="2">
        <v>0.89839999999999998</v>
      </c>
      <c r="P20" s="2">
        <v>0.90649999999999997</v>
      </c>
      <c r="Q20" s="2">
        <v>0.90569999999999995</v>
      </c>
      <c r="R20" s="2">
        <v>0.90359999999999996</v>
      </c>
      <c r="S20" s="2">
        <v>0.90559999999999996</v>
      </c>
      <c r="T20" s="2">
        <v>0.90510000000000002</v>
      </c>
      <c r="U20" s="2">
        <v>0.89839999999999998</v>
      </c>
      <c r="V20" s="2">
        <v>0.91090000000000004</v>
      </c>
      <c r="W20" s="2">
        <v>0.9083</v>
      </c>
      <c r="X20" s="2">
        <f t="shared" si="0"/>
        <v>0.90703999999999996</v>
      </c>
      <c r="Y20" s="2">
        <f t="shared" si="4"/>
        <v>4.835765873049222E-3</v>
      </c>
      <c r="Z20" s="2">
        <f t="shared" si="1"/>
        <v>0.53313700311444057</v>
      </c>
      <c r="AA20" s="2">
        <f t="shared" si="2"/>
        <v>0.89839999999999998</v>
      </c>
      <c r="AB20" s="2">
        <f t="shared" si="3"/>
        <v>0.91610000000000003</v>
      </c>
    </row>
    <row r="21" spans="1:28" x14ac:dyDescent="0.25">
      <c r="A21" t="s">
        <v>28</v>
      </c>
      <c r="B21" t="s">
        <v>37</v>
      </c>
      <c r="C21" t="s">
        <v>34</v>
      </c>
      <c r="D21" s="2">
        <v>0.17299999999999999</v>
      </c>
      <c r="E21" s="2">
        <v>0.16689999999999999</v>
      </c>
      <c r="F21" s="2">
        <v>0.1648</v>
      </c>
      <c r="G21" s="2">
        <v>0.16739999999999999</v>
      </c>
      <c r="H21" s="2">
        <v>0.17780000000000001</v>
      </c>
      <c r="I21" s="2">
        <v>0.17380000000000001</v>
      </c>
      <c r="J21" s="2">
        <v>0.17549999999999999</v>
      </c>
      <c r="K21" s="2">
        <v>0.17929999999999999</v>
      </c>
      <c r="L21" s="2">
        <v>0.16800000000000001</v>
      </c>
      <c r="M21" s="2">
        <v>0.1653</v>
      </c>
      <c r="N21" s="2">
        <v>0.17610000000000001</v>
      </c>
      <c r="O21" s="2">
        <v>0.1772</v>
      </c>
      <c r="P21" s="2">
        <v>0.1749</v>
      </c>
      <c r="Q21" s="2">
        <v>0.1613</v>
      </c>
      <c r="R21" s="2">
        <v>0.15989999999999999</v>
      </c>
      <c r="S21" s="2">
        <v>0.1636</v>
      </c>
      <c r="T21" s="2">
        <v>0.16039999999999999</v>
      </c>
      <c r="U21" s="2">
        <v>0.17460000000000001</v>
      </c>
      <c r="V21" s="2">
        <v>0.18010000000000001</v>
      </c>
      <c r="W21" s="2">
        <v>0.15939999999999999</v>
      </c>
      <c r="X21" s="2">
        <f t="shared" si="0"/>
        <v>0.169965</v>
      </c>
      <c r="Y21" s="2">
        <f t="shared" si="4"/>
        <v>6.9958841283173177E-3</v>
      </c>
      <c r="Z21" s="2">
        <f t="shared" si="1"/>
        <v>4.1160733847070388</v>
      </c>
      <c r="AA21" s="2">
        <f t="shared" si="2"/>
        <v>0.15939999999999999</v>
      </c>
      <c r="AB21" s="2">
        <f t="shared" si="3"/>
        <v>0.18010000000000001</v>
      </c>
    </row>
    <row r="22" spans="1:28" x14ac:dyDescent="0.25">
      <c r="A22" t="s">
        <v>38</v>
      </c>
      <c r="B22" t="s">
        <v>39</v>
      </c>
      <c r="C22" t="s">
        <v>30</v>
      </c>
      <c r="D22" s="2">
        <v>0.65669999999999995</v>
      </c>
      <c r="E22" s="2">
        <v>0.66520000000000001</v>
      </c>
      <c r="F22" s="2">
        <v>0.6643</v>
      </c>
      <c r="G22" s="2">
        <v>0.68530000000000002</v>
      </c>
      <c r="H22" s="2">
        <v>0.65390000000000004</v>
      </c>
      <c r="I22" s="2">
        <v>0.65629999999999999</v>
      </c>
      <c r="J22" s="2">
        <v>0.63619999999999999</v>
      </c>
      <c r="K22" s="2">
        <v>0.65710000000000002</v>
      </c>
      <c r="L22" s="2">
        <v>0.65490000000000004</v>
      </c>
      <c r="M22" s="2">
        <v>0.66210000000000002</v>
      </c>
      <c r="N22" s="2">
        <v>0.64759999999999995</v>
      </c>
      <c r="O22" s="2">
        <v>0.61560000000000004</v>
      </c>
      <c r="P22" s="2">
        <v>0.66059999999999997</v>
      </c>
      <c r="Q22" s="2">
        <v>0.67190000000000005</v>
      </c>
      <c r="R22" s="2">
        <v>0.68469999999999998</v>
      </c>
      <c r="S22" s="2">
        <v>0.62219999999999998</v>
      </c>
      <c r="T22" s="2">
        <v>0.64980000000000004</v>
      </c>
      <c r="U22" s="2">
        <v>0.62129999999999996</v>
      </c>
      <c r="V22" s="2">
        <v>0.63400000000000001</v>
      </c>
      <c r="W22" s="2">
        <v>0.64380000000000004</v>
      </c>
      <c r="X22" s="2">
        <f t="shared" si="0"/>
        <v>0.65217499999999995</v>
      </c>
      <c r="Y22" s="2">
        <f t="shared" si="4"/>
        <v>1.9158971376629967E-2</v>
      </c>
      <c r="Z22" s="2">
        <f t="shared" si="1"/>
        <v>2.9377040482431815</v>
      </c>
      <c r="AA22" s="2">
        <f t="shared" si="2"/>
        <v>0.61560000000000004</v>
      </c>
      <c r="AB22" s="2">
        <f t="shared" si="3"/>
        <v>0.68530000000000002</v>
      </c>
    </row>
    <row r="23" spans="1:28" x14ac:dyDescent="0.25">
      <c r="A23" t="s">
        <v>38</v>
      </c>
      <c r="B23" t="s">
        <v>39</v>
      </c>
      <c r="C23" t="s">
        <v>31</v>
      </c>
      <c r="D23" s="2">
        <v>0.85350000000000004</v>
      </c>
      <c r="E23" s="2">
        <v>0.83479999999999999</v>
      </c>
      <c r="F23" s="2">
        <v>0.86119999999999997</v>
      </c>
      <c r="G23" s="2">
        <v>0.89139999999999997</v>
      </c>
      <c r="H23" s="2">
        <v>0.83550000000000002</v>
      </c>
      <c r="I23" s="2">
        <v>0.83950000000000002</v>
      </c>
      <c r="J23" s="2">
        <v>0.84570000000000001</v>
      </c>
      <c r="K23" s="2">
        <v>0.91449999999999998</v>
      </c>
      <c r="L23" s="2">
        <v>0.85470000000000002</v>
      </c>
      <c r="M23" s="2">
        <v>0.89429999999999998</v>
      </c>
      <c r="N23" s="2">
        <v>0.88439999999999996</v>
      </c>
      <c r="O23" s="2">
        <v>0.86660000000000004</v>
      </c>
      <c r="P23" s="2">
        <v>0.87090000000000001</v>
      </c>
      <c r="Q23" s="2">
        <v>0.82579999999999998</v>
      </c>
      <c r="R23" s="2">
        <v>0.87529999999999997</v>
      </c>
      <c r="S23" s="2">
        <v>0.84209999999999996</v>
      </c>
      <c r="T23" s="2">
        <v>0.87549999999999994</v>
      </c>
      <c r="U23" s="2">
        <v>0.87729999999999997</v>
      </c>
      <c r="V23" s="2">
        <v>0.8518</v>
      </c>
      <c r="W23" s="2">
        <v>0.88300000000000001</v>
      </c>
      <c r="X23" s="2">
        <f t="shared" si="0"/>
        <v>0.86388999999999994</v>
      </c>
      <c r="Y23" s="2">
        <f t="shared" si="4"/>
        <v>2.3372856501776399E-2</v>
      </c>
      <c r="Z23" s="2">
        <f t="shared" si="1"/>
        <v>2.7055361795803168</v>
      </c>
      <c r="AA23" s="2">
        <f t="shared" si="2"/>
        <v>0.82579999999999998</v>
      </c>
      <c r="AB23" s="2">
        <f t="shared" si="3"/>
        <v>0.91449999999999998</v>
      </c>
    </row>
    <row r="24" spans="1:28" x14ac:dyDescent="0.25">
      <c r="A24" t="s">
        <v>38</v>
      </c>
      <c r="B24" t="s">
        <v>39</v>
      </c>
      <c r="C24" t="s">
        <v>32</v>
      </c>
      <c r="D24" s="2">
        <v>5.6753</v>
      </c>
      <c r="E24" s="2">
        <v>5.7873999999999999</v>
      </c>
      <c r="F24" s="2">
        <v>5.2888000000000002</v>
      </c>
      <c r="G24" s="2">
        <v>5.5473999999999997</v>
      </c>
      <c r="H24" s="2">
        <v>5.5942999999999996</v>
      </c>
      <c r="I24" s="2">
        <v>5.4630999999999998</v>
      </c>
      <c r="J24" s="2">
        <v>5.5054999999999996</v>
      </c>
      <c r="K24" s="2">
        <v>5.5575000000000001</v>
      </c>
      <c r="L24" s="2">
        <v>5.6528</v>
      </c>
      <c r="M24" s="2">
        <v>5.3464</v>
      </c>
      <c r="N24" s="2">
        <v>5.3227000000000002</v>
      </c>
      <c r="O24" s="2">
        <v>5.7470999999999997</v>
      </c>
      <c r="P24" s="2">
        <v>5.2244000000000002</v>
      </c>
      <c r="Q24" s="2">
        <v>5.3094000000000001</v>
      </c>
      <c r="R24" s="2">
        <v>5.5065999999999997</v>
      </c>
      <c r="S24" s="2">
        <v>5.2910000000000004</v>
      </c>
      <c r="T24" s="2">
        <v>5.0879000000000003</v>
      </c>
      <c r="U24" s="2">
        <v>5.5789</v>
      </c>
      <c r="V24" s="2">
        <v>5.9679000000000002</v>
      </c>
      <c r="W24" s="2">
        <v>5.2839</v>
      </c>
      <c r="X24" s="2">
        <f t="shared" si="0"/>
        <v>5.4869150000000007</v>
      </c>
      <c r="Y24" s="2">
        <f t="shared" si="4"/>
        <v>0.21854438613363253</v>
      </c>
      <c r="Z24" s="2">
        <f t="shared" si="1"/>
        <v>3.9830102367839215</v>
      </c>
      <c r="AA24" s="2">
        <f t="shared" si="2"/>
        <v>5.0879000000000003</v>
      </c>
      <c r="AB24" s="2">
        <f t="shared" si="3"/>
        <v>5.9679000000000002</v>
      </c>
    </row>
    <row r="25" spans="1:28" x14ac:dyDescent="0.25">
      <c r="A25" t="s">
        <v>38</v>
      </c>
      <c r="B25" t="s">
        <v>39</v>
      </c>
      <c r="C25" t="s">
        <v>33</v>
      </c>
      <c r="D25" s="2">
        <v>0.89180000000000004</v>
      </c>
      <c r="E25" s="2">
        <v>0.90269999999999995</v>
      </c>
      <c r="F25" s="2">
        <v>0.88390000000000002</v>
      </c>
      <c r="G25" s="2">
        <v>0.89070000000000005</v>
      </c>
      <c r="H25" s="2">
        <v>0.88519999999999999</v>
      </c>
      <c r="I25" s="2">
        <v>0.88800000000000001</v>
      </c>
      <c r="J25" s="2">
        <v>0.89480000000000004</v>
      </c>
      <c r="K25" s="2">
        <v>0.87919999999999998</v>
      </c>
      <c r="L25" s="2">
        <v>0.87849999999999995</v>
      </c>
      <c r="M25" s="2">
        <v>0.87849999999999995</v>
      </c>
      <c r="N25" s="2">
        <v>0.89249999999999996</v>
      </c>
      <c r="O25" s="2">
        <v>0.88819999999999999</v>
      </c>
      <c r="P25" s="2">
        <v>0.89990000000000003</v>
      </c>
      <c r="Q25" s="2">
        <v>0.88629999999999998</v>
      </c>
      <c r="R25" s="2">
        <v>0.88859999999999995</v>
      </c>
      <c r="S25" s="2">
        <v>0.89629999999999999</v>
      </c>
      <c r="T25" s="2">
        <v>0.88529999999999998</v>
      </c>
      <c r="U25" s="2">
        <v>0.88870000000000005</v>
      </c>
      <c r="V25" s="2">
        <v>0.89019999999999999</v>
      </c>
      <c r="W25" s="2">
        <v>0.88900000000000001</v>
      </c>
      <c r="X25" s="2">
        <f t="shared" si="0"/>
        <v>0.88891500000000012</v>
      </c>
      <c r="Y25" s="2">
        <f t="shared" si="4"/>
        <v>6.4789761211897891E-3</v>
      </c>
      <c r="Z25" s="2">
        <f t="shared" si="1"/>
        <v>0.72886340327138011</v>
      </c>
      <c r="AA25" s="2">
        <f t="shared" si="2"/>
        <v>0.87849999999999995</v>
      </c>
      <c r="AB25" s="2">
        <f t="shared" si="3"/>
        <v>0.90269999999999995</v>
      </c>
    </row>
    <row r="26" spans="1:28" x14ac:dyDescent="0.25">
      <c r="A26" t="s">
        <v>38</v>
      </c>
      <c r="B26" t="s">
        <v>39</v>
      </c>
      <c r="C26" t="s">
        <v>34</v>
      </c>
      <c r="D26" s="2">
        <v>0.21110000000000001</v>
      </c>
      <c r="E26" s="2">
        <v>0.2157</v>
      </c>
      <c r="F26" s="2">
        <v>0.19320000000000001</v>
      </c>
      <c r="G26" s="2">
        <v>0.2268</v>
      </c>
      <c r="H26" s="2">
        <v>0.2142</v>
      </c>
      <c r="I26" s="2">
        <v>0.1802</v>
      </c>
      <c r="J26" s="2">
        <v>0.21479999999999999</v>
      </c>
      <c r="K26" s="2">
        <v>0.20419999999999999</v>
      </c>
      <c r="L26" s="2">
        <v>0.22409999999999999</v>
      </c>
      <c r="M26" s="2">
        <v>0.2135</v>
      </c>
      <c r="N26" s="2">
        <v>0.18970000000000001</v>
      </c>
      <c r="O26" s="2">
        <v>0.2346</v>
      </c>
      <c r="P26" s="2">
        <v>0.20399999999999999</v>
      </c>
      <c r="Q26" s="2">
        <v>0.1993</v>
      </c>
      <c r="R26" s="2">
        <v>0.19800000000000001</v>
      </c>
      <c r="S26" s="2">
        <v>0.2104</v>
      </c>
      <c r="T26" s="2">
        <v>0.21870000000000001</v>
      </c>
      <c r="U26" s="2">
        <v>0.20810000000000001</v>
      </c>
      <c r="V26" s="2">
        <v>0.20710000000000001</v>
      </c>
      <c r="W26" s="2">
        <v>0.19439999999999999</v>
      </c>
      <c r="X26" s="2">
        <f t="shared" si="0"/>
        <v>0.20810500000000004</v>
      </c>
      <c r="Y26" s="2">
        <f t="shared" si="4"/>
        <v>1.3264018403580654E-2</v>
      </c>
      <c r="Z26" s="2">
        <f t="shared" si="1"/>
        <v>6.3737144247282149</v>
      </c>
      <c r="AA26" s="2">
        <f t="shared" si="2"/>
        <v>0.1802</v>
      </c>
      <c r="AB26" s="2">
        <f t="shared" si="3"/>
        <v>0.2346</v>
      </c>
    </row>
    <row r="27" spans="1:28" x14ac:dyDescent="0.25">
      <c r="A27" t="s">
        <v>38</v>
      </c>
      <c r="B27" t="s">
        <v>40</v>
      </c>
      <c r="C27" t="s">
        <v>30</v>
      </c>
      <c r="D27" s="2">
        <v>0.59930000000000005</v>
      </c>
      <c r="E27" s="2">
        <v>0.60240000000000005</v>
      </c>
      <c r="F27" s="2">
        <v>0.60089999999999999</v>
      </c>
      <c r="G27" s="2">
        <v>0.63490000000000002</v>
      </c>
      <c r="H27" s="2">
        <v>0.61750000000000005</v>
      </c>
      <c r="I27" s="2">
        <v>0.58460000000000001</v>
      </c>
      <c r="J27" s="2">
        <v>0.56459999999999999</v>
      </c>
      <c r="K27" s="2">
        <v>0.61909999999999998</v>
      </c>
      <c r="L27" s="2">
        <v>0.58079999999999998</v>
      </c>
      <c r="M27" s="2">
        <v>0.56669999999999998</v>
      </c>
      <c r="N27" s="2">
        <v>0.62129999999999996</v>
      </c>
      <c r="O27" s="2">
        <v>0.59840000000000004</v>
      </c>
      <c r="P27" s="2">
        <v>0.55420000000000003</v>
      </c>
      <c r="Q27" s="2">
        <v>0.61719999999999997</v>
      </c>
      <c r="R27" s="2">
        <v>0.59770000000000001</v>
      </c>
      <c r="S27" s="2">
        <v>0.59119999999999995</v>
      </c>
      <c r="T27" s="2">
        <v>0.61360000000000003</v>
      </c>
      <c r="U27" s="2">
        <v>0.56079999999999997</v>
      </c>
      <c r="V27" s="2">
        <v>0.60599999999999998</v>
      </c>
      <c r="W27" s="2">
        <v>0.60489999999999999</v>
      </c>
      <c r="X27" s="2">
        <f t="shared" si="0"/>
        <v>0.59680500000000003</v>
      </c>
      <c r="Y27" s="2">
        <f t="shared" si="4"/>
        <v>2.2211767270146659E-2</v>
      </c>
      <c r="Z27" s="2">
        <f t="shared" si="1"/>
        <v>3.7217796885325458</v>
      </c>
      <c r="AA27" s="2">
        <f t="shared" si="2"/>
        <v>0.55420000000000003</v>
      </c>
      <c r="AB27" s="2">
        <f t="shared" si="3"/>
        <v>0.63490000000000002</v>
      </c>
    </row>
    <row r="28" spans="1:28" x14ac:dyDescent="0.25">
      <c r="A28" t="s">
        <v>38</v>
      </c>
      <c r="B28" t="s">
        <v>40</v>
      </c>
      <c r="C28" t="s">
        <v>31</v>
      </c>
      <c r="D28" s="2">
        <v>0.82399999999999995</v>
      </c>
      <c r="E28" s="2">
        <v>0.79930000000000001</v>
      </c>
      <c r="F28" s="2">
        <v>0.78369999999999995</v>
      </c>
      <c r="G28" s="2">
        <v>0.80100000000000005</v>
      </c>
      <c r="H28" s="2">
        <v>0.77959999999999996</v>
      </c>
      <c r="I28" s="2">
        <v>0.78290000000000004</v>
      </c>
      <c r="J28" s="2">
        <v>0.80640000000000001</v>
      </c>
      <c r="K28" s="2">
        <v>0.76800000000000002</v>
      </c>
      <c r="L28" s="2">
        <v>0.79410000000000003</v>
      </c>
      <c r="M28" s="2">
        <v>0.7621</v>
      </c>
      <c r="N28" s="2">
        <v>0.76</v>
      </c>
      <c r="O28" s="2">
        <v>0.73150000000000004</v>
      </c>
      <c r="P28" s="2">
        <v>0.78969999999999996</v>
      </c>
      <c r="Q28" s="2">
        <v>0.82089999999999996</v>
      </c>
      <c r="R28" s="2">
        <v>0.79979999999999996</v>
      </c>
      <c r="S28" s="2">
        <v>0.78839999999999999</v>
      </c>
      <c r="T28" s="2">
        <v>0.81599999999999995</v>
      </c>
      <c r="U28" s="2">
        <v>0.83930000000000005</v>
      </c>
      <c r="V28" s="2">
        <v>0.80830000000000002</v>
      </c>
      <c r="W28" s="2">
        <v>0.79410000000000003</v>
      </c>
      <c r="X28" s="2">
        <f t="shared" si="0"/>
        <v>0.79245500000000002</v>
      </c>
      <c r="Y28" s="2">
        <f t="shared" si="4"/>
        <v>2.4945550705486534E-2</v>
      </c>
      <c r="Z28" s="2">
        <f t="shared" si="1"/>
        <v>3.1478823031574703</v>
      </c>
      <c r="AA28" s="2">
        <f t="shared" si="2"/>
        <v>0.73150000000000004</v>
      </c>
      <c r="AB28" s="2">
        <f t="shared" si="3"/>
        <v>0.83930000000000005</v>
      </c>
    </row>
    <row r="29" spans="1:28" x14ac:dyDescent="0.25">
      <c r="A29" t="s">
        <v>38</v>
      </c>
      <c r="B29" t="s">
        <v>40</v>
      </c>
      <c r="C29" t="s">
        <v>32</v>
      </c>
      <c r="D29" s="2">
        <v>4.7545999999999999</v>
      </c>
      <c r="E29" s="2">
        <v>4.9462999999999999</v>
      </c>
      <c r="F29" s="2">
        <v>5.1150000000000002</v>
      </c>
      <c r="G29" s="2">
        <v>5.1982999999999997</v>
      </c>
      <c r="H29" s="2">
        <v>4.8711000000000002</v>
      </c>
      <c r="I29" s="2">
        <v>4.9752999999999998</v>
      </c>
      <c r="J29" s="2">
        <v>5.3289</v>
      </c>
      <c r="K29" s="2">
        <v>5.1994999999999996</v>
      </c>
      <c r="L29" s="2">
        <v>5.1096000000000004</v>
      </c>
      <c r="M29" s="2">
        <v>5.1101999999999999</v>
      </c>
      <c r="N29" s="2">
        <v>5.0361000000000002</v>
      </c>
      <c r="O29" s="2">
        <v>5.1595000000000004</v>
      </c>
      <c r="P29" s="2">
        <v>5.4249000000000001</v>
      </c>
      <c r="Q29" s="2">
        <v>4.7096999999999998</v>
      </c>
      <c r="R29" s="2">
        <v>4.9756</v>
      </c>
      <c r="S29" s="2">
        <v>4.9641000000000002</v>
      </c>
      <c r="T29" s="2">
        <v>5.3390000000000004</v>
      </c>
      <c r="U29" s="2">
        <v>4.8798000000000004</v>
      </c>
      <c r="V29" s="2">
        <v>5.0106000000000002</v>
      </c>
      <c r="W29" s="2">
        <v>5.1200999999999999</v>
      </c>
      <c r="X29" s="2">
        <f t="shared" si="0"/>
        <v>5.0614099999999995</v>
      </c>
      <c r="Y29" s="2">
        <f t="shared" si="4"/>
        <v>0.18735458613913999</v>
      </c>
      <c r="Z29" s="2">
        <f t="shared" si="1"/>
        <v>3.7016283237109824</v>
      </c>
      <c r="AA29" s="2">
        <f t="shared" si="2"/>
        <v>4.7096999999999998</v>
      </c>
      <c r="AB29" s="2">
        <f t="shared" si="3"/>
        <v>5.4249000000000001</v>
      </c>
    </row>
    <row r="30" spans="1:28" x14ac:dyDescent="0.25">
      <c r="A30" t="s">
        <v>38</v>
      </c>
      <c r="B30" t="s">
        <v>40</v>
      </c>
      <c r="C30" t="s">
        <v>33</v>
      </c>
      <c r="D30" s="2">
        <v>0.89849999999999997</v>
      </c>
      <c r="E30" s="2">
        <v>0.89319999999999999</v>
      </c>
      <c r="F30" s="2">
        <v>0.89990000000000003</v>
      </c>
      <c r="G30" s="2">
        <v>0.89890000000000003</v>
      </c>
      <c r="H30" s="2">
        <v>0.90439999999999998</v>
      </c>
      <c r="I30" s="2">
        <v>0.90100000000000002</v>
      </c>
      <c r="J30" s="2">
        <v>0.90059999999999996</v>
      </c>
      <c r="K30" s="2">
        <v>0.89759999999999995</v>
      </c>
      <c r="L30" s="2">
        <v>0.8982</v>
      </c>
      <c r="M30" s="2">
        <v>0.89390000000000003</v>
      </c>
      <c r="N30" s="2">
        <v>0.90590000000000004</v>
      </c>
      <c r="O30" s="2">
        <v>0.89590000000000003</v>
      </c>
      <c r="P30" s="2">
        <v>0.89849999999999997</v>
      </c>
      <c r="Q30" s="2">
        <v>0.90159999999999996</v>
      </c>
      <c r="R30" s="2">
        <v>0.90720000000000001</v>
      </c>
      <c r="S30" s="2">
        <v>0.89539999999999997</v>
      </c>
      <c r="T30" s="2">
        <v>0.88880000000000003</v>
      </c>
      <c r="U30" s="2">
        <v>0.89839999999999998</v>
      </c>
      <c r="V30" s="2">
        <v>0.89900000000000002</v>
      </c>
      <c r="W30" s="2">
        <v>0.90110000000000001</v>
      </c>
      <c r="X30" s="2">
        <f t="shared" si="0"/>
        <v>0.89890000000000003</v>
      </c>
      <c r="Y30" s="2">
        <f t="shared" si="4"/>
        <v>4.3047097829922807E-3</v>
      </c>
      <c r="Z30" s="2">
        <f t="shared" si="1"/>
        <v>0.4788863925900857</v>
      </c>
      <c r="AA30" s="2">
        <f t="shared" si="2"/>
        <v>0.88880000000000003</v>
      </c>
      <c r="AB30" s="2">
        <f t="shared" si="3"/>
        <v>0.90720000000000001</v>
      </c>
    </row>
    <row r="31" spans="1:28" x14ac:dyDescent="0.25">
      <c r="A31" t="s">
        <v>38</v>
      </c>
      <c r="B31" t="s">
        <v>40</v>
      </c>
      <c r="C31" t="s">
        <v>34</v>
      </c>
      <c r="D31" s="2">
        <v>0.189</v>
      </c>
      <c r="E31" s="2">
        <v>0.1978</v>
      </c>
      <c r="F31" s="2">
        <v>0.17499999999999999</v>
      </c>
      <c r="G31" s="2">
        <v>0.2024</v>
      </c>
      <c r="H31" s="2">
        <v>0.19040000000000001</v>
      </c>
      <c r="I31" s="2">
        <v>0.188</v>
      </c>
      <c r="J31" s="2">
        <v>0.18579999999999999</v>
      </c>
      <c r="K31" s="2">
        <v>0.20150000000000001</v>
      </c>
      <c r="L31" s="2">
        <v>0.1789</v>
      </c>
      <c r="M31" s="2">
        <v>0.1857</v>
      </c>
      <c r="N31" s="2">
        <v>0.19620000000000001</v>
      </c>
      <c r="O31" s="2">
        <v>0.1767</v>
      </c>
      <c r="P31" s="2">
        <v>0.20030000000000001</v>
      </c>
      <c r="Q31" s="2">
        <v>0.1835</v>
      </c>
      <c r="R31" s="2">
        <v>0.19919999999999999</v>
      </c>
      <c r="S31" s="2">
        <v>0.2016</v>
      </c>
      <c r="T31" s="2">
        <v>0.19170000000000001</v>
      </c>
      <c r="U31" s="2">
        <v>0.18890000000000001</v>
      </c>
      <c r="V31" s="2">
        <v>0.191</v>
      </c>
      <c r="W31" s="2">
        <v>0.1963</v>
      </c>
      <c r="X31" s="2">
        <f t="shared" si="0"/>
        <v>0.19099499999999997</v>
      </c>
      <c r="Y31" s="2">
        <f t="shared" si="4"/>
        <v>8.411175210459752E-3</v>
      </c>
      <c r="Z31" s="2">
        <f t="shared" si="1"/>
        <v>4.4038719392967103</v>
      </c>
      <c r="AA31" s="2">
        <f t="shared" si="2"/>
        <v>0.17499999999999999</v>
      </c>
      <c r="AB31" s="2">
        <f t="shared" si="3"/>
        <v>0.2024</v>
      </c>
    </row>
    <row r="32" spans="1:28" x14ac:dyDescent="0.25">
      <c r="A32" t="s">
        <v>38</v>
      </c>
      <c r="B32" t="s">
        <v>41</v>
      </c>
      <c r="C32" t="s">
        <v>30</v>
      </c>
      <c r="D32" s="2">
        <v>0.56969999999999998</v>
      </c>
      <c r="E32" s="2">
        <v>0.59760000000000002</v>
      </c>
      <c r="F32" s="2">
        <v>0.59670000000000001</v>
      </c>
      <c r="G32" s="2">
        <v>0.5887</v>
      </c>
      <c r="H32" s="2">
        <v>0.57730000000000004</v>
      </c>
      <c r="I32" s="2">
        <v>0.60019999999999996</v>
      </c>
      <c r="J32" s="2">
        <v>0.56140000000000001</v>
      </c>
      <c r="K32" s="2">
        <v>0.6179</v>
      </c>
      <c r="L32" s="2">
        <v>0.56559999999999999</v>
      </c>
      <c r="M32" s="2">
        <v>0.57720000000000005</v>
      </c>
      <c r="N32" s="2">
        <v>0.57230000000000003</v>
      </c>
      <c r="O32" s="2">
        <v>0.60360000000000003</v>
      </c>
      <c r="P32" s="2">
        <v>0.57379999999999998</v>
      </c>
      <c r="Q32" s="2">
        <v>0.58479999999999999</v>
      </c>
      <c r="R32" s="2">
        <v>0.58289999999999997</v>
      </c>
      <c r="S32" s="2">
        <v>0.57889999999999997</v>
      </c>
      <c r="T32" s="2">
        <v>0.57330000000000003</v>
      </c>
      <c r="U32" s="2">
        <v>0.59650000000000003</v>
      </c>
      <c r="V32" s="2">
        <v>0.57110000000000005</v>
      </c>
      <c r="W32" s="2">
        <v>0.56910000000000005</v>
      </c>
      <c r="X32" s="2">
        <f t="shared" si="0"/>
        <v>0.58293000000000006</v>
      </c>
      <c r="Y32" s="2">
        <f t="shared" si="4"/>
        <v>1.4892848866768942E-2</v>
      </c>
      <c r="Z32" s="2">
        <f t="shared" si="1"/>
        <v>2.5548262856207331</v>
      </c>
      <c r="AA32" s="2">
        <f t="shared" si="2"/>
        <v>0.56140000000000001</v>
      </c>
      <c r="AB32" s="2">
        <f t="shared" si="3"/>
        <v>0.6179</v>
      </c>
    </row>
    <row r="33" spans="1:28" x14ac:dyDescent="0.25">
      <c r="A33" t="s">
        <v>38</v>
      </c>
      <c r="B33" t="s">
        <v>41</v>
      </c>
      <c r="C33" t="s">
        <v>31</v>
      </c>
      <c r="D33" s="2">
        <v>0.74680000000000002</v>
      </c>
      <c r="E33" s="2">
        <v>0.77170000000000005</v>
      </c>
      <c r="F33" s="2">
        <v>0.72970000000000002</v>
      </c>
      <c r="G33" s="2">
        <v>0.8</v>
      </c>
      <c r="H33" s="2">
        <v>0.79510000000000003</v>
      </c>
      <c r="I33" s="2">
        <v>0.75419999999999998</v>
      </c>
      <c r="J33" s="2">
        <v>0.73509999999999998</v>
      </c>
      <c r="K33" s="2">
        <v>0.78559999999999997</v>
      </c>
      <c r="L33" s="2">
        <v>0.76439999999999997</v>
      </c>
      <c r="M33" s="2">
        <v>0.77529999999999999</v>
      </c>
      <c r="N33" s="2">
        <v>0.80149999999999999</v>
      </c>
      <c r="O33" s="2">
        <v>0.8095</v>
      </c>
      <c r="P33" s="2">
        <v>0.73770000000000002</v>
      </c>
      <c r="Q33" s="2">
        <v>0.83640000000000003</v>
      </c>
      <c r="R33" s="2">
        <v>0.77100000000000002</v>
      </c>
      <c r="S33" s="2">
        <v>0.80189999999999995</v>
      </c>
      <c r="T33" s="2">
        <v>0.77039999999999997</v>
      </c>
      <c r="U33" s="2">
        <v>0.72799999999999998</v>
      </c>
      <c r="V33" s="2">
        <v>0.78159999999999996</v>
      </c>
      <c r="W33" s="2">
        <v>0.76490000000000002</v>
      </c>
      <c r="X33" s="2">
        <f t="shared" si="0"/>
        <v>0.77304000000000006</v>
      </c>
      <c r="Y33" s="2">
        <f t="shared" si="4"/>
        <v>2.9225932968764863E-2</v>
      </c>
      <c r="Z33" s="2">
        <f t="shared" si="1"/>
        <v>3.7806495095680508</v>
      </c>
      <c r="AA33" s="2">
        <f t="shared" si="2"/>
        <v>0.72799999999999998</v>
      </c>
      <c r="AB33" s="2">
        <f t="shared" si="3"/>
        <v>0.83640000000000003</v>
      </c>
    </row>
    <row r="34" spans="1:28" x14ac:dyDescent="0.25">
      <c r="A34" t="s">
        <v>38</v>
      </c>
      <c r="B34" t="s">
        <v>41</v>
      </c>
      <c r="C34" t="s">
        <v>32</v>
      </c>
      <c r="D34" s="2">
        <v>4.9032999999999998</v>
      </c>
      <c r="E34" s="2">
        <v>5.0490000000000004</v>
      </c>
      <c r="F34" s="2">
        <v>4.7736000000000001</v>
      </c>
      <c r="G34" s="2">
        <v>4.7198000000000002</v>
      </c>
      <c r="H34" s="2">
        <v>4.8723999999999998</v>
      </c>
      <c r="I34" s="2">
        <v>4.6786000000000003</v>
      </c>
      <c r="J34" s="2">
        <v>4.8552</v>
      </c>
      <c r="K34" s="2">
        <v>5.0106000000000002</v>
      </c>
      <c r="L34" s="2">
        <v>4.6096000000000004</v>
      </c>
      <c r="M34" s="2">
        <v>4.7516999999999996</v>
      </c>
      <c r="N34" s="2">
        <v>5.2053000000000003</v>
      </c>
      <c r="O34" s="2">
        <v>5.0639000000000003</v>
      </c>
      <c r="P34" s="2">
        <v>4.9939</v>
      </c>
      <c r="Q34" s="2">
        <v>4.8499999999999996</v>
      </c>
      <c r="R34" s="2">
        <v>5.2042000000000002</v>
      </c>
      <c r="S34" s="2">
        <v>5.0987</v>
      </c>
      <c r="T34" s="2">
        <v>5.0260999999999996</v>
      </c>
      <c r="U34" s="2">
        <v>4.9077000000000002</v>
      </c>
      <c r="V34" s="2">
        <v>4.8079000000000001</v>
      </c>
      <c r="W34" s="2">
        <v>4.9551999999999996</v>
      </c>
      <c r="X34" s="2">
        <f t="shared" si="0"/>
        <v>4.9168349999999998</v>
      </c>
      <c r="Y34" s="2">
        <f t="shared" si="4"/>
        <v>0.16642281370368855</v>
      </c>
      <c r="Z34" s="2">
        <f t="shared" si="1"/>
        <v>3.3847549023648051</v>
      </c>
      <c r="AA34" s="2">
        <f t="shared" si="2"/>
        <v>4.6096000000000004</v>
      </c>
      <c r="AB34" s="2">
        <f t="shared" si="3"/>
        <v>5.2053000000000003</v>
      </c>
    </row>
    <row r="35" spans="1:28" x14ac:dyDescent="0.25">
      <c r="A35" t="s">
        <v>38</v>
      </c>
      <c r="B35" t="s">
        <v>41</v>
      </c>
      <c r="C35" t="s">
        <v>33</v>
      </c>
      <c r="D35" s="2">
        <v>0.8891</v>
      </c>
      <c r="E35" s="2">
        <v>0.91120000000000001</v>
      </c>
      <c r="F35" s="2">
        <v>0.90390000000000004</v>
      </c>
      <c r="G35" s="2">
        <v>0.90100000000000002</v>
      </c>
      <c r="H35" s="2">
        <v>0.89449999999999996</v>
      </c>
      <c r="I35" s="2">
        <v>0.90459999999999996</v>
      </c>
      <c r="J35" s="2">
        <v>0.89859999999999995</v>
      </c>
      <c r="K35" s="2">
        <v>0.9</v>
      </c>
      <c r="L35" s="2">
        <v>0.89580000000000004</v>
      </c>
      <c r="M35" s="2">
        <v>0.90169999999999995</v>
      </c>
      <c r="N35" s="2">
        <v>0.90710000000000002</v>
      </c>
      <c r="O35" s="2">
        <v>0.91290000000000004</v>
      </c>
      <c r="P35" s="2">
        <v>0.91020000000000001</v>
      </c>
      <c r="Q35" s="2">
        <v>0.90459999999999996</v>
      </c>
      <c r="R35" s="2">
        <v>0.89929999999999999</v>
      </c>
      <c r="S35" s="2">
        <v>0.90059999999999996</v>
      </c>
      <c r="T35" s="2">
        <v>0.90210000000000001</v>
      </c>
      <c r="U35" s="2">
        <v>0.89990000000000003</v>
      </c>
      <c r="V35" s="2">
        <v>0.89980000000000004</v>
      </c>
      <c r="W35" s="2">
        <v>0.90329999999999999</v>
      </c>
      <c r="X35" s="2">
        <f t="shared" si="0"/>
        <v>0.90201000000000009</v>
      </c>
      <c r="Y35" s="2">
        <f t="shared" si="4"/>
        <v>5.6744023566595294E-3</v>
      </c>
      <c r="Z35" s="2">
        <f t="shared" si="1"/>
        <v>0.6290841960354685</v>
      </c>
      <c r="AA35" s="2">
        <f t="shared" si="2"/>
        <v>0.8891</v>
      </c>
      <c r="AB35" s="2">
        <f t="shared" si="3"/>
        <v>0.91290000000000004</v>
      </c>
    </row>
    <row r="36" spans="1:28" x14ac:dyDescent="0.25">
      <c r="A36" t="s">
        <v>38</v>
      </c>
      <c r="B36" t="s">
        <v>41</v>
      </c>
      <c r="C36" t="s">
        <v>34</v>
      </c>
      <c r="D36" s="2">
        <v>0.18859999999999999</v>
      </c>
      <c r="E36" s="2">
        <v>0.1794</v>
      </c>
      <c r="F36" s="2">
        <v>0.1875</v>
      </c>
      <c r="G36" s="2">
        <v>0.18279999999999999</v>
      </c>
      <c r="H36" s="2">
        <v>0.1757</v>
      </c>
      <c r="I36" s="2">
        <v>0.1905</v>
      </c>
      <c r="J36" s="2">
        <v>0.1741</v>
      </c>
      <c r="K36" s="2">
        <v>0.18079999999999999</v>
      </c>
      <c r="L36" s="2">
        <v>0.18529999999999999</v>
      </c>
      <c r="M36" s="2">
        <v>0.17649999999999999</v>
      </c>
      <c r="N36" s="2">
        <v>0.18029999999999999</v>
      </c>
      <c r="O36" s="2">
        <v>0.17150000000000001</v>
      </c>
      <c r="P36" s="2">
        <v>0.18390000000000001</v>
      </c>
      <c r="Q36" s="2">
        <v>0.192</v>
      </c>
      <c r="R36" s="2">
        <v>0.17929999999999999</v>
      </c>
      <c r="S36" s="2">
        <v>0.19109999999999999</v>
      </c>
      <c r="T36" s="2">
        <v>0.1913</v>
      </c>
      <c r="U36" s="2">
        <v>0.18509999999999999</v>
      </c>
      <c r="V36" s="2">
        <v>0.17530000000000001</v>
      </c>
      <c r="W36" s="2">
        <v>0.1885</v>
      </c>
      <c r="X36" s="2">
        <f t="shared" si="0"/>
        <v>0.18297499999999997</v>
      </c>
      <c r="Y36" s="2">
        <f t="shared" si="4"/>
        <v>6.3627927499602995E-3</v>
      </c>
      <c r="Z36" s="2">
        <f t="shared" si="1"/>
        <v>3.4774109850855583</v>
      </c>
      <c r="AA36" s="2">
        <f t="shared" si="2"/>
        <v>0.17150000000000001</v>
      </c>
      <c r="AB36" s="2">
        <f t="shared" si="3"/>
        <v>0.192</v>
      </c>
    </row>
    <row r="37" spans="1:28" x14ac:dyDescent="0.25">
      <c r="A37" t="s">
        <v>38</v>
      </c>
      <c r="B37" t="s">
        <v>42</v>
      </c>
      <c r="C37" t="s">
        <v>30</v>
      </c>
      <c r="D37" s="2">
        <v>0.52939999999999998</v>
      </c>
      <c r="E37" s="2">
        <v>0.5494</v>
      </c>
      <c r="F37" s="2">
        <v>0.54300000000000004</v>
      </c>
      <c r="G37" s="2">
        <v>0.56979999999999997</v>
      </c>
      <c r="H37" s="2">
        <v>0.55069999999999997</v>
      </c>
      <c r="I37" s="2">
        <v>0.52490000000000003</v>
      </c>
      <c r="J37" s="2">
        <v>0.55589999999999995</v>
      </c>
      <c r="K37" s="2">
        <v>0.55430000000000001</v>
      </c>
      <c r="L37" s="2">
        <v>0.54530000000000001</v>
      </c>
      <c r="M37" s="2">
        <v>0.5393</v>
      </c>
      <c r="N37" s="2">
        <v>0.53369999999999995</v>
      </c>
      <c r="O37" s="2">
        <v>0.53380000000000005</v>
      </c>
      <c r="P37" s="2">
        <v>0.52490000000000003</v>
      </c>
      <c r="Q37" s="2">
        <v>0.52629999999999999</v>
      </c>
      <c r="R37" s="2">
        <v>0.5363</v>
      </c>
      <c r="S37" s="2">
        <v>0.55700000000000005</v>
      </c>
      <c r="T37" s="2">
        <v>0.53239999999999998</v>
      </c>
      <c r="U37" s="2">
        <v>0.53369999999999995</v>
      </c>
      <c r="V37" s="2">
        <v>0.51910000000000001</v>
      </c>
      <c r="W37" s="2">
        <v>0.53939999999999999</v>
      </c>
      <c r="X37" s="2">
        <f t="shared" si="0"/>
        <v>0.53992999999999991</v>
      </c>
      <c r="Y37" s="2">
        <f t="shared" si="4"/>
        <v>1.3093152087215178E-2</v>
      </c>
      <c r="Z37" s="2">
        <f t="shared" si="1"/>
        <v>2.4249721421693886</v>
      </c>
      <c r="AA37" s="2">
        <f t="shared" si="2"/>
        <v>0.51910000000000001</v>
      </c>
      <c r="AB37" s="2">
        <f t="shared" si="3"/>
        <v>0.56979999999999997</v>
      </c>
    </row>
    <row r="38" spans="1:28" x14ac:dyDescent="0.25">
      <c r="A38" t="s">
        <v>38</v>
      </c>
      <c r="B38" t="s">
        <v>42</v>
      </c>
      <c r="C38" t="s">
        <v>31</v>
      </c>
      <c r="D38" s="2">
        <v>0.70369999999999999</v>
      </c>
      <c r="E38" s="2">
        <v>0.75160000000000005</v>
      </c>
      <c r="F38" s="2">
        <v>0.72589999999999999</v>
      </c>
      <c r="G38" s="2">
        <v>0.70150000000000001</v>
      </c>
      <c r="H38" s="2">
        <v>0.73919999999999997</v>
      </c>
      <c r="I38" s="2">
        <v>0.6865</v>
      </c>
      <c r="J38" s="2">
        <v>0.71919999999999995</v>
      </c>
      <c r="K38" s="2">
        <v>0.72689999999999999</v>
      </c>
      <c r="L38" s="2">
        <v>0.71250000000000002</v>
      </c>
      <c r="M38" s="2">
        <v>0.73440000000000005</v>
      </c>
      <c r="N38" s="2">
        <v>0.70369999999999999</v>
      </c>
      <c r="O38" s="2">
        <v>0.69899999999999995</v>
      </c>
      <c r="P38" s="2">
        <v>0.67749999999999999</v>
      </c>
      <c r="Q38" s="2">
        <v>0.70409999999999995</v>
      </c>
      <c r="R38" s="2">
        <v>0.69889999999999997</v>
      </c>
      <c r="S38" s="2">
        <v>0.68210000000000004</v>
      </c>
      <c r="T38" s="2">
        <v>0.6946</v>
      </c>
      <c r="U38" s="2">
        <v>0.70250000000000001</v>
      </c>
      <c r="V38" s="2">
        <v>0.72740000000000005</v>
      </c>
      <c r="W38" s="2">
        <v>0.74709999999999999</v>
      </c>
      <c r="X38" s="2">
        <f t="shared" si="0"/>
        <v>0.71191499999999996</v>
      </c>
      <c r="Y38" s="2">
        <f t="shared" si="4"/>
        <v>2.1181751704312801E-2</v>
      </c>
      <c r="Z38" s="2">
        <f t="shared" si="1"/>
        <v>2.9753203267683364</v>
      </c>
      <c r="AA38" s="2">
        <f t="shared" si="2"/>
        <v>0.67749999999999999</v>
      </c>
      <c r="AB38" s="2">
        <f t="shared" si="3"/>
        <v>0.75160000000000005</v>
      </c>
    </row>
    <row r="39" spans="1:28" x14ac:dyDescent="0.25">
      <c r="A39" t="s">
        <v>38</v>
      </c>
      <c r="B39" t="s">
        <v>42</v>
      </c>
      <c r="C39" t="s">
        <v>32</v>
      </c>
      <c r="D39" s="2">
        <v>4.6418999999999997</v>
      </c>
      <c r="E39" s="2">
        <v>4.6896000000000004</v>
      </c>
      <c r="F39" s="2">
        <v>4.4573</v>
      </c>
      <c r="G39" s="2">
        <v>4.5987</v>
      </c>
      <c r="H39" s="2">
        <v>4.6600999999999999</v>
      </c>
      <c r="I39" s="2">
        <v>4.6494999999999997</v>
      </c>
      <c r="J39" s="2">
        <v>4.6010999999999997</v>
      </c>
      <c r="K39" s="2">
        <v>4.6741999999999999</v>
      </c>
      <c r="L39" s="2">
        <v>4.5217000000000001</v>
      </c>
      <c r="M39" s="2">
        <v>4.4734999999999996</v>
      </c>
      <c r="N39" s="2">
        <v>4.3465999999999996</v>
      </c>
      <c r="O39" s="2">
        <v>4.7118000000000002</v>
      </c>
      <c r="P39" s="2">
        <v>4.6337999999999999</v>
      </c>
      <c r="Q39" s="2">
        <v>4.5686</v>
      </c>
      <c r="R39" s="2">
        <v>4.5838000000000001</v>
      </c>
      <c r="S39" s="2">
        <v>4.5339</v>
      </c>
      <c r="T39" s="2">
        <v>4.6314000000000002</v>
      </c>
      <c r="U39" s="2">
        <v>4.5801999999999996</v>
      </c>
      <c r="V39" s="2">
        <v>4.4958</v>
      </c>
      <c r="W39" s="2">
        <v>4.4739000000000004</v>
      </c>
      <c r="X39" s="2">
        <f t="shared" si="0"/>
        <v>4.5763700000000007</v>
      </c>
      <c r="Y39" s="2">
        <f t="shared" si="4"/>
        <v>9.2988726537994421E-2</v>
      </c>
      <c r="Z39" s="2">
        <f t="shared" si="1"/>
        <v>2.0319320015207336</v>
      </c>
      <c r="AA39" s="2">
        <f t="shared" si="2"/>
        <v>4.3465999999999996</v>
      </c>
      <c r="AB39" s="2">
        <f t="shared" si="3"/>
        <v>4.7118000000000002</v>
      </c>
    </row>
    <row r="40" spans="1:28" x14ac:dyDescent="0.25">
      <c r="A40" t="s">
        <v>38</v>
      </c>
      <c r="B40" t="s">
        <v>42</v>
      </c>
      <c r="C40" t="s">
        <v>33</v>
      </c>
      <c r="D40" s="2">
        <v>0.90629999999999999</v>
      </c>
      <c r="E40" s="2">
        <v>0.91159999999999997</v>
      </c>
      <c r="F40" s="2">
        <v>0.90769999999999995</v>
      </c>
      <c r="G40" s="2">
        <v>0.90700000000000003</v>
      </c>
      <c r="H40" s="2">
        <v>0.92120000000000002</v>
      </c>
      <c r="I40" s="2">
        <v>0.91300000000000003</v>
      </c>
      <c r="J40" s="2">
        <v>0.90659999999999996</v>
      </c>
      <c r="K40" s="2">
        <v>0.90100000000000002</v>
      </c>
      <c r="L40" s="2">
        <v>0.90010000000000001</v>
      </c>
      <c r="M40" s="2">
        <v>0.90749999999999997</v>
      </c>
      <c r="N40" s="2">
        <v>0.9052</v>
      </c>
      <c r="O40" s="2">
        <v>0.91269999999999996</v>
      </c>
      <c r="P40" s="2">
        <v>0.91890000000000005</v>
      </c>
      <c r="Q40" s="2">
        <v>0.91149999999999998</v>
      </c>
      <c r="R40" s="2">
        <v>0.91359999999999997</v>
      </c>
      <c r="S40" s="2">
        <v>0.91049999999999998</v>
      </c>
      <c r="T40" s="2">
        <v>0.91649999999999998</v>
      </c>
      <c r="U40" s="2">
        <v>0.90410000000000001</v>
      </c>
      <c r="V40" s="2">
        <v>0.90939999999999999</v>
      </c>
      <c r="W40" s="2">
        <v>0.91259999999999997</v>
      </c>
      <c r="X40" s="2">
        <f t="shared" si="0"/>
        <v>0.90985000000000027</v>
      </c>
      <c r="Y40" s="2">
        <f t="shared" si="4"/>
        <v>5.4797714128275547E-3</v>
      </c>
      <c r="Z40" s="2">
        <f t="shared" si="1"/>
        <v>0.60227195832582869</v>
      </c>
      <c r="AA40" s="2">
        <f t="shared" si="2"/>
        <v>0.90010000000000001</v>
      </c>
      <c r="AB40" s="2">
        <f t="shared" si="3"/>
        <v>0.92120000000000002</v>
      </c>
    </row>
    <row r="41" spans="1:28" x14ac:dyDescent="0.25">
      <c r="A41" t="s">
        <v>38</v>
      </c>
      <c r="B41" t="s">
        <v>42</v>
      </c>
      <c r="C41" t="s">
        <v>34</v>
      </c>
      <c r="D41" s="2">
        <v>0.1598</v>
      </c>
      <c r="E41" s="2">
        <v>0.16700000000000001</v>
      </c>
      <c r="F41" s="2">
        <v>0.16300000000000001</v>
      </c>
      <c r="G41" s="2">
        <v>0.16930000000000001</v>
      </c>
      <c r="H41" s="2">
        <v>0.16109999999999999</v>
      </c>
      <c r="I41" s="2">
        <v>0.15939999999999999</v>
      </c>
      <c r="J41" s="2">
        <v>0.16520000000000001</v>
      </c>
      <c r="K41" s="2">
        <v>0.17369999999999999</v>
      </c>
      <c r="L41" s="2">
        <v>0.17050000000000001</v>
      </c>
      <c r="M41" s="2">
        <v>0.16320000000000001</v>
      </c>
      <c r="N41" s="2">
        <v>0.1636</v>
      </c>
      <c r="O41" s="2">
        <v>0.1666</v>
      </c>
      <c r="P41" s="2">
        <v>0.16320000000000001</v>
      </c>
      <c r="Q41" s="2">
        <v>0.16300000000000001</v>
      </c>
      <c r="R41" s="2">
        <v>0.17180000000000001</v>
      </c>
      <c r="S41" s="2">
        <v>0.16470000000000001</v>
      </c>
      <c r="T41" s="2">
        <v>0.16869999999999999</v>
      </c>
      <c r="U41" s="2">
        <v>0.1532</v>
      </c>
      <c r="V41" s="2">
        <v>0.16250000000000001</v>
      </c>
      <c r="W41" s="2">
        <v>0.16889999999999999</v>
      </c>
      <c r="X41" s="2">
        <f t="shared" si="0"/>
        <v>0.16491999999999998</v>
      </c>
      <c r="Y41" s="2">
        <f t="shared" si="4"/>
        <v>4.8213996657445971E-3</v>
      </c>
      <c r="Z41" s="2">
        <f t="shared" si="1"/>
        <v>2.9234778472863194</v>
      </c>
      <c r="AA41" s="2">
        <f t="shared" si="2"/>
        <v>0.1532</v>
      </c>
      <c r="AB41" s="2">
        <f t="shared" si="3"/>
        <v>0.17369999999999999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workbookViewId="0">
      <selection activeCell="G9" sqref="G9"/>
    </sheetView>
  </sheetViews>
  <sheetFormatPr defaultRowHeight="15" x14ac:dyDescent="0.25"/>
  <cols>
    <col min="1" max="1" width="22" customWidth="1"/>
    <col min="2" max="2" width="25" customWidth="1"/>
    <col min="3" max="7" width="20" customWidth="1"/>
  </cols>
  <sheetData>
    <row r="1" spans="1:7" x14ac:dyDescent="0.25">
      <c r="A1" s="3" t="s">
        <v>0</v>
      </c>
      <c r="B1" s="3" t="s">
        <v>1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</row>
    <row r="2" spans="1:7" x14ac:dyDescent="0.25">
      <c r="A2" t="s">
        <v>28</v>
      </c>
      <c r="B2" t="s">
        <v>29</v>
      </c>
      <c r="C2" t="str">
        <f>TEXT(Results_Table15!X2,"0.000")&amp;" ± "&amp;TEXT(Results_Table15!Y2,"0.000")</f>
        <v>0.517 ± 0.013</v>
      </c>
      <c r="D2" t="str">
        <f>TEXT(Results_Table15!X3,"0.000")&amp;" ± "&amp;TEXT(Results_Table15!Y3,"0.000")</f>
        <v>0.684 ± 0.014</v>
      </c>
      <c r="E2" t="str">
        <f>TEXT(Results_Table15!X4,"0.000")&amp;" ± "&amp;TEXT(Results_Table15!Y4,"0.000")</f>
        <v>4.374 ± 0.177</v>
      </c>
      <c r="F2" t="str">
        <f>TEXT(Results_Table15!X5,"0.000")&amp;" ± "&amp;TEXT(Results_Table15!Y5,"0.000")</f>
        <v>0.914 ± 0.004</v>
      </c>
      <c r="G2" t="str">
        <f>TEXT(Results_Table15!X6,"0.000")&amp;" ± "&amp;TEXT(Results_Table15!Y6,"0.000")</f>
        <v>0.163 ± 0.005</v>
      </c>
    </row>
    <row r="3" spans="1:7" x14ac:dyDescent="0.25">
      <c r="A3" t="s">
        <v>28</v>
      </c>
      <c r="B3" t="s">
        <v>35</v>
      </c>
      <c r="C3" t="str">
        <f>TEXT(Results_Table15!X7,"0.000")&amp;" ± "&amp;TEXT(Results_Table15!Y7,"0.000")</f>
        <v>0.633 ± 0.031</v>
      </c>
      <c r="D3" t="str">
        <f>TEXT(Results_Table15!X8,"0.000")&amp;" ± "&amp;TEXT(Results_Table15!Y8,"0.000")</f>
        <v>0.840 ± 0.019</v>
      </c>
      <c r="E3" t="str">
        <f>TEXT(Results_Table15!X9,"0.000")&amp;" ± "&amp;TEXT(Results_Table15!Y9,"0.000")</f>
        <v>5.323 ± 0.296</v>
      </c>
      <c r="F3" t="str">
        <f>TEXT(Results_Table15!X10,"0.000")&amp;" ± "&amp;TEXT(Results_Table15!Y10,"0.000")</f>
        <v>0.892 ± 0.003</v>
      </c>
      <c r="G3" t="str">
        <f>TEXT(Results_Table15!X11,"0.000")&amp;" ± "&amp;TEXT(Results_Table15!Y11,"0.000")</f>
        <v>0.203 ± 0.013</v>
      </c>
    </row>
    <row r="4" spans="1:7" x14ac:dyDescent="0.25">
      <c r="A4" t="s">
        <v>28</v>
      </c>
      <c r="B4" t="s">
        <v>36</v>
      </c>
      <c r="C4" t="str">
        <f>TEXT(Results_Table15!X12,"0.000")&amp;" ± "&amp;TEXT(Results_Table15!Y12,"0.000")</f>
        <v>0.560 ± 0.025</v>
      </c>
      <c r="D4" t="str">
        <f>TEXT(Results_Table15!X13,"0.000")&amp;" ± "&amp;TEXT(Results_Table15!Y13,"0.000")</f>
        <v>0.741 ± 0.022</v>
      </c>
      <c r="E4" t="str">
        <f>TEXT(Results_Table15!X14,"0.000")&amp;" ± "&amp;TEXT(Results_Table15!Y14,"0.000")</f>
        <v>4.739 ± 0.177</v>
      </c>
      <c r="F4" t="str">
        <f>TEXT(Results_Table15!X15,"0.000")&amp;" ± "&amp;TEXT(Results_Table15!Y15,"0.000")</f>
        <v>0.905 ± 0.004</v>
      </c>
      <c r="G4" t="str">
        <f>TEXT(Results_Table15!X16,"0.000")&amp;" ± "&amp;TEXT(Results_Table15!Y16,"0.000")</f>
        <v>0.176 ± 0.011</v>
      </c>
    </row>
    <row r="5" spans="1:7" x14ac:dyDescent="0.25">
      <c r="A5" t="s">
        <v>28</v>
      </c>
      <c r="B5" t="s">
        <v>37</v>
      </c>
      <c r="C5" t="str">
        <f>TEXT(Results_Table15!X17,"0.000")&amp;" ± "&amp;TEXT(Results_Table15!Y17,"0.000")</f>
        <v>0.545 ± 0.017</v>
      </c>
      <c r="D5" t="str">
        <f>TEXT(Results_Table15!X18,"0.000")&amp;" ± "&amp;TEXT(Results_Table15!Y18,"0.000")</f>
        <v>0.724 ± 0.021</v>
      </c>
      <c r="E5" t="str">
        <f>TEXT(Results_Table15!X19,"0.000")&amp;" ± "&amp;TEXT(Results_Table15!Y19,"0.000")</f>
        <v>4.598 ± 0.119</v>
      </c>
      <c r="F5" t="str">
        <f>TEXT(Results_Table15!X20,"0.000")&amp;" ± "&amp;TEXT(Results_Table15!Y20,"0.000")</f>
        <v>0.907 ± 0.005</v>
      </c>
      <c r="G5" t="str">
        <f>TEXT(Results_Table15!X21,"0.000")&amp;" ± "&amp;TEXT(Results_Table15!Y21,"0.000")</f>
        <v>0.170 ± 0.007</v>
      </c>
    </row>
    <row r="6" spans="1:7" x14ac:dyDescent="0.25">
      <c r="A6" t="s">
        <v>38</v>
      </c>
      <c r="B6" t="s">
        <v>39</v>
      </c>
      <c r="C6" t="str">
        <f>TEXT(Results_Table15!X22,"0.000")&amp;" ± "&amp;TEXT(Results_Table15!Y22,"0.000")</f>
        <v>0.652 ± 0.019</v>
      </c>
      <c r="D6" t="str">
        <f>TEXT(Results_Table15!X23,"0.000")&amp;" ± "&amp;TEXT(Results_Table15!Y23,"0.000")</f>
        <v>0.864 ± 0.023</v>
      </c>
      <c r="E6" t="str">
        <f>TEXT(Results_Table15!X24,"0.000")&amp;" ± "&amp;TEXT(Results_Table15!Y24,"0.000")</f>
        <v>5.487 ± 0.219</v>
      </c>
      <c r="F6" t="str">
        <f>TEXT(Results_Table15!X25,"0.000")&amp;" ± "&amp;TEXT(Results_Table15!Y25,"0.000")</f>
        <v>0.889 ± 0.006</v>
      </c>
      <c r="G6" t="str">
        <f>TEXT(Results_Table15!X26,"0.000")&amp;" ± "&amp;TEXT(Results_Table15!Y26,"0.000")</f>
        <v>0.208 ± 0.013</v>
      </c>
    </row>
    <row r="7" spans="1:7" x14ac:dyDescent="0.25">
      <c r="A7" t="s">
        <v>38</v>
      </c>
      <c r="B7" t="s">
        <v>40</v>
      </c>
      <c r="C7" t="str">
        <f>TEXT(Results_Table15!X27,"0.000")&amp;" ± "&amp;TEXT(Results_Table15!Y27,"0.000")</f>
        <v>0.597 ± 0.022</v>
      </c>
      <c r="D7" t="str">
        <f>TEXT(Results_Table15!X28,"0.000")&amp;" ± "&amp;TEXT(Results_Table15!Y28,"0.000")</f>
        <v>0.792 ± 0.025</v>
      </c>
      <c r="E7" t="str">
        <f>TEXT(Results_Table15!X29,"0.000")&amp;" ± "&amp;TEXT(Results_Table15!Y29,"0.000")</f>
        <v>5.061 ± 0.187</v>
      </c>
      <c r="F7" t="str">
        <f>TEXT(Results_Table15!X30,"0.000")&amp;" ± "&amp;TEXT(Results_Table15!Y30,"0.000")</f>
        <v>0.899 ± 0.004</v>
      </c>
      <c r="G7" t="str">
        <f>TEXT(Results_Table15!X31,"0.000")&amp;" ± "&amp;TEXT(Results_Table15!Y31,"0.000")</f>
        <v>0.191 ± 0.008</v>
      </c>
    </row>
    <row r="8" spans="1:7" x14ac:dyDescent="0.25">
      <c r="A8" t="s">
        <v>38</v>
      </c>
      <c r="B8" t="s">
        <v>41</v>
      </c>
      <c r="C8" t="str">
        <f>TEXT(Results_Table15!X32,"0.000")&amp;" ± "&amp;TEXT(Results_Table15!Y32,"0.000")</f>
        <v>0.583 ± 0.015</v>
      </c>
      <c r="D8" t="str">
        <f>TEXT(Results_Table15!X33,"0.000")&amp;" ± "&amp;TEXT(Results_Table15!Y33,"0.000")</f>
        <v>0.773 ± 0.029</v>
      </c>
      <c r="E8" t="str">
        <f>TEXT(Results_Table15!X34,"0.000")&amp;" ± "&amp;TEXT(Results_Table15!Y34,"0.000")</f>
        <v>4.917 ± 0.166</v>
      </c>
      <c r="F8" t="str">
        <f>TEXT(Results_Table15!X35,"0.000")&amp;" ± "&amp;TEXT(Results_Table15!Y35,"0.000")</f>
        <v>0.902 ± 0.006</v>
      </c>
      <c r="G8" t="str">
        <f>TEXT(Results_Table15!X36,"0.000")&amp;" ± "&amp;TEXT(Results_Table15!Y36,"0.000")</f>
        <v>0.183 ± 0.006</v>
      </c>
    </row>
    <row r="9" spans="1:7" x14ac:dyDescent="0.25">
      <c r="A9" t="s">
        <v>38</v>
      </c>
      <c r="B9" t="s">
        <v>42</v>
      </c>
      <c r="C9" t="str">
        <f>TEXT(Results_Table15!X37,"0.000")&amp;" ± "&amp;TEXT(Results_Table15!Y37,"0.000")</f>
        <v>0.540 ± 0.013</v>
      </c>
      <c r="D9" t="str">
        <f>TEXT(Results_Table15!X38,"0.000")&amp;" ± "&amp;TEXT(Results_Table15!Y38,"0.000")</f>
        <v>0.712 ± 0.021</v>
      </c>
      <c r="E9" t="str">
        <f>TEXT(Results_Table15!X39,"0.000")&amp;" ± "&amp;TEXT(Results_Table15!Y39,"0.000")</f>
        <v>4.576 ± 0.093</v>
      </c>
      <c r="F9" t="str">
        <f>TEXT(Results_Table15!X40,"0.000")&amp;" ± "&amp;TEXT(Results_Table15!Y40,"0.000")</f>
        <v>0.910 ± 0.005</v>
      </c>
      <c r="G9" t="str">
        <f>TEXT(Results_Table15!X41,"0.000")&amp;" ± "&amp;TEXT(Results_Table15!Y41,"0.000")</f>
        <v>0.165 ± 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Results_Table15</vt:lpstr>
      <vt:lpstr>Table15_Summary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2026-09-26T17:52:19Z</dcterms:created>
  <dcterms:modified xsi:type="dcterms:W3CDTF">2026-09-26T17:55:57Z</dcterms:modified>
</cp:coreProperties>
</file>