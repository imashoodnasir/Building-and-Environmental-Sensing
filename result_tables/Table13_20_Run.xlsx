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C20F969B-A0B3-47E3-925D-9DD93B8E050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3" sheetId="1" r:id="rId1"/>
    <sheet name="Table13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2" i="1"/>
  <c r="AB71" i="1"/>
  <c r="AA71" i="1"/>
  <c r="X71" i="1"/>
  <c r="G15" i="3" s="1"/>
  <c r="AB70" i="1"/>
  <c r="AA70" i="1"/>
  <c r="X70" i="1"/>
  <c r="F15" i="3" s="1"/>
  <c r="AB69" i="1"/>
  <c r="AA69" i="1"/>
  <c r="Z69" i="1"/>
  <c r="X69" i="1"/>
  <c r="AB68" i="1"/>
  <c r="AA68" i="1"/>
  <c r="X68" i="1"/>
  <c r="AB67" i="1"/>
  <c r="AA67" i="1"/>
  <c r="X67" i="1"/>
  <c r="C15" i="3" s="1"/>
  <c r="AB66" i="1"/>
  <c r="AA66" i="1"/>
  <c r="X66" i="1"/>
  <c r="AB65" i="1"/>
  <c r="AA65" i="1"/>
  <c r="X65" i="1"/>
  <c r="AB64" i="1"/>
  <c r="AA64" i="1"/>
  <c r="X64" i="1"/>
  <c r="AB63" i="1"/>
  <c r="AA63" i="1"/>
  <c r="X63" i="1"/>
  <c r="D14" i="3" s="1"/>
  <c r="AB62" i="1"/>
  <c r="AA62" i="1"/>
  <c r="X62" i="1"/>
  <c r="C14" i="3" s="1"/>
  <c r="AB61" i="1"/>
  <c r="AA61" i="1"/>
  <c r="X61" i="1"/>
  <c r="AB60" i="1"/>
  <c r="AA60" i="1"/>
  <c r="Z60" i="1"/>
  <c r="X60" i="1"/>
  <c r="F13" i="3" s="1"/>
  <c r="AB59" i="1"/>
  <c r="AA59" i="1"/>
  <c r="X59" i="1"/>
  <c r="AB58" i="1"/>
  <c r="AA58" i="1"/>
  <c r="Z58" i="1"/>
  <c r="X58" i="1"/>
  <c r="D13" i="3" s="1"/>
  <c r="AB57" i="1"/>
  <c r="AA57" i="1"/>
  <c r="X57" i="1"/>
  <c r="AB56" i="1"/>
  <c r="AA56" i="1"/>
  <c r="X56" i="1"/>
  <c r="G12" i="3" s="1"/>
  <c r="AB55" i="1"/>
  <c r="AA55" i="1"/>
  <c r="X55" i="1"/>
  <c r="F12" i="3" s="1"/>
  <c r="AB54" i="1"/>
  <c r="AA54" i="1"/>
  <c r="Z54" i="1"/>
  <c r="X54" i="1"/>
  <c r="AB53" i="1"/>
  <c r="AA53" i="1"/>
  <c r="X53" i="1"/>
  <c r="AB52" i="1"/>
  <c r="AA52" i="1"/>
  <c r="Z52" i="1"/>
  <c r="X52" i="1"/>
  <c r="C12" i="3" s="1"/>
  <c r="AB51" i="1"/>
  <c r="AA51" i="1"/>
  <c r="Z51" i="1"/>
  <c r="X51" i="1"/>
  <c r="AB50" i="1"/>
  <c r="AA50" i="1"/>
  <c r="X50" i="1"/>
  <c r="AB49" i="1"/>
  <c r="AA49" i="1"/>
  <c r="Z49" i="1"/>
  <c r="X49" i="1"/>
  <c r="AB48" i="1"/>
  <c r="AA48" i="1"/>
  <c r="X48" i="1"/>
  <c r="D11" i="3" s="1"/>
  <c r="AB47" i="1"/>
  <c r="AA47" i="1"/>
  <c r="X47" i="1"/>
  <c r="AB46" i="1"/>
  <c r="AA46" i="1"/>
  <c r="X46" i="1"/>
  <c r="G10" i="3" s="1"/>
  <c r="AB45" i="1"/>
  <c r="AA45" i="1"/>
  <c r="X45" i="1"/>
  <c r="AB44" i="1"/>
  <c r="AA44" i="1"/>
  <c r="Z44" i="1"/>
  <c r="X44" i="1"/>
  <c r="E10" i="3" s="1"/>
  <c r="AB43" i="1"/>
  <c r="AA43" i="1"/>
  <c r="X43" i="1"/>
  <c r="D10" i="3" s="1"/>
  <c r="AB42" i="1"/>
  <c r="AA42" i="1"/>
  <c r="X42" i="1"/>
  <c r="C10" i="3" s="1"/>
  <c r="AB41" i="1"/>
  <c r="AA41" i="1"/>
  <c r="Z41" i="1"/>
  <c r="X41" i="1"/>
  <c r="AB40" i="1"/>
  <c r="AA40" i="1"/>
  <c r="X40" i="1"/>
  <c r="AB39" i="1"/>
  <c r="AA39" i="1"/>
  <c r="X39" i="1"/>
  <c r="E9" i="3" s="1"/>
  <c r="AB38" i="1"/>
  <c r="AA38" i="1"/>
  <c r="X38" i="1"/>
  <c r="AB37" i="1"/>
  <c r="AA37" i="1"/>
  <c r="Z37" i="1"/>
  <c r="X37" i="1"/>
  <c r="AB36" i="1"/>
  <c r="AA36" i="1"/>
  <c r="Z36" i="1"/>
  <c r="X36" i="1"/>
  <c r="G8" i="3" s="1"/>
  <c r="AB35" i="1"/>
  <c r="AA35" i="1"/>
  <c r="Z35" i="1"/>
  <c r="X35" i="1"/>
  <c r="AB34" i="1"/>
  <c r="AA34" i="1"/>
  <c r="Z34" i="1"/>
  <c r="X34" i="1"/>
  <c r="AB33" i="1"/>
  <c r="AA33" i="1"/>
  <c r="Z33" i="1"/>
  <c r="X33" i="1"/>
  <c r="D8" i="3" s="1"/>
  <c r="AB32" i="1"/>
  <c r="AA32" i="1"/>
  <c r="X32" i="1"/>
  <c r="AB31" i="1"/>
  <c r="AA31" i="1"/>
  <c r="X31" i="1"/>
  <c r="G7" i="3" s="1"/>
  <c r="AB30" i="1"/>
  <c r="AA30" i="1"/>
  <c r="Z30" i="1"/>
  <c r="X30" i="1"/>
  <c r="F7" i="3" s="1"/>
  <c r="AB29" i="1"/>
  <c r="AA29" i="1"/>
  <c r="X29" i="1"/>
  <c r="E7" i="3" s="1"/>
  <c r="AB28" i="1"/>
  <c r="AA28" i="1"/>
  <c r="X28" i="1"/>
  <c r="D7" i="3" s="1"/>
  <c r="AB27" i="1"/>
  <c r="AA27" i="1"/>
  <c r="Z27" i="1"/>
  <c r="X27" i="1"/>
  <c r="AB26" i="1"/>
  <c r="AA26" i="1"/>
  <c r="X26" i="1"/>
  <c r="G6" i="3" s="1"/>
  <c r="AB25" i="1"/>
  <c r="AA25" i="1"/>
  <c r="Z25" i="1"/>
  <c r="X25" i="1"/>
  <c r="AB24" i="1"/>
  <c r="AA24" i="1"/>
  <c r="Z24" i="1"/>
  <c r="X24" i="1"/>
  <c r="E6" i="3" s="1"/>
  <c r="AB23" i="1"/>
  <c r="AA23" i="1"/>
  <c r="Z23" i="1"/>
  <c r="X23" i="1"/>
  <c r="D6" i="3" s="1"/>
  <c r="AB22" i="1"/>
  <c r="AA22" i="1"/>
  <c r="Z22" i="1"/>
  <c r="X22" i="1"/>
  <c r="AB21" i="1"/>
  <c r="AA21" i="1"/>
  <c r="Z21" i="1"/>
  <c r="X21" i="1"/>
  <c r="G5" i="3" s="1"/>
  <c r="AB20" i="1"/>
  <c r="AA20" i="1"/>
  <c r="X20" i="1"/>
  <c r="F5" i="3" s="1"/>
  <c r="AB19" i="1"/>
  <c r="AA19" i="1"/>
  <c r="X19" i="1"/>
  <c r="E5" i="3" s="1"/>
  <c r="AB18" i="1"/>
  <c r="AA18" i="1"/>
  <c r="X18" i="1"/>
  <c r="AB17" i="1"/>
  <c r="AA17" i="1"/>
  <c r="Z17" i="1"/>
  <c r="X17" i="1"/>
  <c r="AB16" i="1"/>
  <c r="AA16" i="1"/>
  <c r="Z16" i="1"/>
  <c r="X16" i="1"/>
  <c r="AB15" i="1"/>
  <c r="AA15" i="1"/>
  <c r="Z15" i="1"/>
  <c r="X15" i="1"/>
  <c r="AB14" i="1"/>
  <c r="AA14" i="1"/>
  <c r="X14" i="1"/>
  <c r="AB13" i="1"/>
  <c r="AA13" i="1"/>
  <c r="Z13" i="1"/>
  <c r="X13" i="1"/>
  <c r="D4" i="3" s="1"/>
  <c r="AB12" i="1"/>
  <c r="AA12" i="1"/>
  <c r="Z12" i="1"/>
  <c r="X12" i="1"/>
  <c r="AB11" i="1"/>
  <c r="AA11" i="1"/>
  <c r="Z11" i="1"/>
  <c r="X11" i="1"/>
  <c r="AB10" i="1"/>
  <c r="AA10" i="1"/>
  <c r="Z10" i="1"/>
  <c r="X10" i="1"/>
  <c r="AB9" i="1"/>
  <c r="AA9" i="1"/>
  <c r="Z9" i="1"/>
  <c r="X9" i="1"/>
  <c r="E3" i="3" s="1"/>
  <c r="AB8" i="1"/>
  <c r="AA8" i="1"/>
  <c r="Z8" i="1"/>
  <c r="X8" i="1"/>
  <c r="D3" i="3" s="1"/>
  <c r="AB7" i="1"/>
  <c r="AA7" i="1"/>
  <c r="Z7" i="1"/>
  <c r="X7" i="1"/>
  <c r="AB6" i="1"/>
  <c r="AA6" i="1"/>
  <c r="X6" i="1"/>
  <c r="G2" i="3" s="1"/>
  <c r="AB5" i="1"/>
  <c r="AA5" i="1"/>
  <c r="X5" i="1"/>
  <c r="F2" i="3" s="1"/>
  <c r="AB4" i="1"/>
  <c r="AA4" i="1"/>
  <c r="X4" i="1"/>
  <c r="E2" i="3" s="1"/>
  <c r="AB3" i="1"/>
  <c r="AA3" i="1"/>
  <c r="X3" i="1"/>
  <c r="D2" i="3" s="1"/>
  <c r="AB2" i="1"/>
  <c r="AA2" i="1"/>
  <c r="X2" i="1"/>
  <c r="C7" i="3" l="1"/>
  <c r="Z71" i="1"/>
  <c r="Z70" i="1"/>
  <c r="Z67" i="1"/>
  <c r="Z62" i="1"/>
  <c r="Z61" i="1"/>
  <c r="Z56" i="1"/>
  <c r="Z55" i="1"/>
  <c r="Z48" i="1"/>
  <c r="Z46" i="1"/>
  <c r="Z42" i="1"/>
  <c r="Z57" i="1"/>
  <c r="Z39" i="1"/>
  <c r="Z31" i="1"/>
  <c r="Z19" i="1"/>
  <c r="G4" i="3"/>
  <c r="Z66" i="1"/>
  <c r="Z64" i="1"/>
  <c r="Z63" i="1"/>
  <c r="Z45" i="1"/>
  <c r="Z38" i="1"/>
  <c r="Z29" i="1"/>
  <c r="Z28" i="1"/>
  <c r="Z26" i="1"/>
  <c r="Z18" i="1"/>
  <c r="Z14" i="1"/>
  <c r="Z6" i="1"/>
  <c r="Z5" i="1"/>
  <c r="Z3" i="1"/>
  <c r="Z2" i="1"/>
  <c r="Z20" i="1"/>
  <c r="Z4" i="1"/>
  <c r="Z43" i="1"/>
  <c r="Z40" i="1"/>
  <c r="Z32" i="1"/>
  <c r="C2" i="3"/>
  <c r="C9" i="3"/>
  <c r="C6" i="3"/>
  <c r="E12" i="3"/>
  <c r="D9" i="3"/>
  <c r="G14" i="3"/>
  <c r="E11" i="3"/>
  <c r="C8" i="3"/>
  <c r="C3" i="3"/>
  <c r="C4" i="3"/>
  <c r="E15" i="3"/>
  <c r="E14" i="3"/>
  <c r="G13" i="3"/>
  <c r="F6" i="3"/>
  <c r="D5" i="3"/>
  <c r="E4" i="3"/>
  <c r="F4" i="3"/>
  <c r="F9" i="3"/>
  <c r="E8" i="3"/>
  <c r="G3" i="3"/>
  <c r="G9" i="3"/>
  <c r="C5" i="3"/>
  <c r="C13" i="3"/>
  <c r="F8" i="3"/>
  <c r="G11" i="3"/>
  <c r="F10" i="3"/>
  <c r="F3" i="3"/>
  <c r="D15" i="3"/>
  <c r="Z68" i="1"/>
  <c r="F14" i="3"/>
  <c r="Z65" i="1"/>
  <c r="E13" i="3"/>
  <c r="Z59" i="1"/>
  <c r="Z53" i="1"/>
  <c r="D12" i="3"/>
  <c r="F11" i="3"/>
  <c r="Z50" i="1"/>
  <c r="Z47" i="1"/>
  <c r="C11" i="3"/>
</calcChain>
</file>

<file path=xl/sharedStrings.xml><?xml version="1.0" encoding="utf-8"?>
<sst xmlns="http://schemas.openxmlformats.org/spreadsheetml/2006/main" count="273" uniqueCount="50">
  <si>
    <t>Perturbation</t>
  </si>
  <si>
    <t>Severity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</si>
  <si>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</si>
  <si>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</si>
  <si>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</si>
  <si>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</si>
  <si>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</si>
  <si>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</si>
  <si>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</si>
  <si>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</si>
  <si>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</si>
  <si>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</si>
  <si>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</si>
  <si>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</si>
  <si>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</si>
  <si>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</si>
  <si>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</si>
  <si>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</si>
  <si>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</si>
  <si>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</si>
  <si>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</si>
  <si>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</si>
  <si>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</si>
  <si>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</si>
  <si>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</si>
  <si>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</si>
  <si>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</si>
  <si>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</si>
  <si>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Burst missingness</t>
  </si>
  <si>
    <t>1 h</t>
  </si>
  <si>
    <t>MAE</t>
  </si>
  <si>
    <t>RMSE</t>
  </si>
  <si>
    <t>sMAPE (%)</t>
  </si>
  <si>
    <t>R2</t>
  </si>
  <si>
    <t>Shift Score</t>
  </si>
  <si>
    <t>3 h</t>
  </si>
  <si>
    <t>6 h</t>
  </si>
  <si>
    <t>12 h</t>
  </si>
  <si>
    <t>24 h</t>
  </si>
  <si>
    <t>Modality asynchrony</t>
  </si>
  <si>
    <t>Synchronous</t>
  </si>
  <si>
    <t>5 min</t>
  </si>
  <si>
    <t>15 min</t>
  </si>
  <si>
    <t>30 min</t>
  </si>
  <si>
    <t>60 min</t>
  </si>
  <si>
    <t>Timestamp jitter</t>
  </si>
  <si>
    <t>±1 min</t>
  </si>
  <si>
    <t>±5 min</t>
  </si>
  <si>
    <t>±15 min</t>
  </si>
  <si>
    <t>±30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</si>
</sst>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workbookViewId="0">
      <pane xSplit="3" ySplit="1" topLeftCell="O2" activePane="bottomRight" state="frozen"/>
      <selection pane="topRight"/>
      <selection pane="bottomLeft"/>
      <selection pane="bottomRight" activeCell="Y2" sqref="Y2:Y71"/>
    </sheetView>
  </sheetViews>
  <sheetFormatPr defaultRowHeight="15" x14ac:dyDescent="0.25"/>
  <cols>
    <col min="1" max="1" width="25" customWidth="1"/>
    <col min="2" max="3" width="16" customWidth="1"/>
    <col min="4" max="28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s="2">
        <v>0.5242</v>
      </c>
      <c r="E2" s="2">
        <v>0.5484</v>
      </c>
      <c r="F2" s="2">
        <v>0.54600000000000004</v>
      </c>
      <c r="G2" s="2">
        <v>0.52939999999999998</v>
      </c>
      <c r="H2" s="2">
        <v>0.55069999999999997</v>
      </c>
      <c r="I2" s="2">
        <v>0.55910000000000004</v>
      </c>
      <c r="J2" s="2">
        <v>0.54400000000000004</v>
      </c>
      <c r="K2" s="2">
        <v>0.54139999999999999</v>
      </c>
      <c r="L2" s="2">
        <v>0.54259999999999997</v>
      </c>
      <c r="M2" s="2">
        <v>0.53600000000000003</v>
      </c>
      <c r="N2" s="2">
        <v>0.55000000000000004</v>
      </c>
      <c r="O2" s="2">
        <v>0.53559999999999997</v>
      </c>
      <c r="P2" s="2">
        <v>0.52639999999999998</v>
      </c>
      <c r="Q2" s="2">
        <v>0.54710000000000003</v>
      </c>
      <c r="R2" s="2">
        <v>0.54920000000000002</v>
      </c>
      <c r="S2" s="2">
        <v>0.54200000000000004</v>
      </c>
      <c r="T2" s="2">
        <v>0.53610000000000002</v>
      </c>
      <c r="U2" s="2">
        <v>0.55110000000000003</v>
      </c>
      <c r="V2" s="2">
        <v>0.55969999999999998</v>
      </c>
      <c r="W2" s="2">
        <v>0.55049999999999999</v>
      </c>
      <c r="X2" s="2">
        <f t="shared" ref="X2:X33" si="0">AVERAGE(D2:W2)</f>
        <v>0.54347499999999993</v>
      </c>
      <c r="Y2" s="2">
        <f>_xlfn.STDEV.S(D2:W2)</f>
        <v>9.8065431969519383E-3</v>
      </c>
      <c r="Z2" s="2">
        <f t="shared" ref="Z2:Z33" si="1">IFERROR(Y2/ABS(X2)*100,"")</f>
        <v>1.8044147747278052</v>
      </c>
      <c r="AA2" s="2">
        <f t="shared" ref="AA2:AA33" si="2">MIN(D2:W2)</f>
        <v>0.5242</v>
      </c>
      <c r="AB2" s="2">
        <f t="shared" ref="AB2:AB33" si="3">MAX(D2:W2)</f>
        <v>0.55969999999999998</v>
      </c>
    </row>
    <row r="3" spans="1:28" x14ac:dyDescent="0.25">
      <c r="A3" t="s">
        <v>28</v>
      </c>
      <c r="B3" t="s">
        <v>29</v>
      </c>
      <c r="C3" t="s">
        <v>31</v>
      </c>
      <c r="D3" s="2">
        <v>0.7399</v>
      </c>
      <c r="E3" s="2">
        <v>0.75760000000000005</v>
      </c>
      <c r="F3" s="2">
        <v>0.70599999999999996</v>
      </c>
      <c r="G3" s="2">
        <v>0.72260000000000002</v>
      </c>
      <c r="H3" s="2">
        <v>0.74590000000000001</v>
      </c>
      <c r="I3" s="2">
        <v>0.69440000000000002</v>
      </c>
      <c r="J3" s="2">
        <v>0.68200000000000005</v>
      </c>
      <c r="K3" s="2">
        <v>0.70679999999999998</v>
      </c>
      <c r="L3" s="2">
        <v>0.74760000000000004</v>
      </c>
      <c r="M3" s="2">
        <v>0.71009999999999995</v>
      </c>
      <c r="N3" s="2">
        <v>0.72089999999999999</v>
      </c>
      <c r="O3" s="2">
        <v>0.70799999999999996</v>
      </c>
      <c r="P3" s="2">
        <v>0.72270000000000001</v>
      </c>
      <c r="Q3" s="2">
        <v>0.72319999999999995</v>
      </c>
      <c r="R3" s="2">
        <v>0.70809999999999995</v>
      </c>
      <c r="S3" s="2">
        <v>0.69599999999999995</v>
      </c>
      <c r="T3" s="2">
        <v>0.71289999999999998</v>
      </c>
      <c r="U3" s="2">
        <v>0.69310000000000005</v>
      </c>
      <c r="V3" s="2">
        <v>0.73040000000000005</v>
      </c>
      <c r="W3" s="2">
        <v>0.74119999999999997</v>
      </c>
      <c r="X3" s="2">
        <f t="shared" si="0"/>
        <v>0.71846999999999983</v>
      </c>
      <c r="Y3" s="2">
        <f t="shared" ref="Y3:Y66" si="4">_xlfn.STDEV.S(D3:W3)</f>
        <v>2.049577876950328E-2</v>
      </c>
      <c r="Z3" s="2">
        <f t="shared" si="1"/>
        <v>2.8526979232957932</v>
      </c>
      <c r="AA3" s="2">
        <f t="shared" si="2"/>
        <v>0.68200000000000005</v>
      </c>
      <c r="AB3" s="2">
        <f t="shared" si="3"/>
        <v>0.75760000000000005</v>
      </c>
    </row>
    <row r="4" spans="1:28" x14ac:dyDescent="0.25">
      <c r="A4" t="s">
        <v>28</v>
      </c>
      <c r="B4" t="s">
        <v>29</v>
      </c>
      <c r="C4" t="s">
        <v>32</v>
      </c>
      <c r="D4" s="2">
        <v>4.7252999999999998</v>
      </c>
      <c r="E4" s="2">
        <v>4.3914</v>
      </c>
      <c r="F4" s="2">
        <v>4.6517999999999997</v>
      </c>
      <c r="G4" s="2">
        <v>4.7674000000000003</v>
      </c>
      <c r="H4" s="2">
        <v>4.7047999999999996</v>
      </c>
      <c r="I4" s="2">
        <v>4.5608000000000004</v>
      </c>
      <c r="J4" s="2">
        <v>4.6745000000000001</v>
      </c>
      <c r="K4" s="2">
        <v>4.6458000000000004</v>
      </c>
      <c r="L4" s="2">
        <v>4.3982000000000001</v>
      </c>
      <c r="M4" s="2">
        <v>4.7454999999999998</v>
      </c>
      <c r="N4" s="2">
        <v>4.5053000000000001</v>
      </c>
      <c r="O4" s="2">
        <v>4.5551000000000004</v>
      </c>
      <c r="P4" s="2">
        <v>4.7160000000000002</v>
      </c>
      <c r="Q4" s="2">
        <v>4.5652999999999997</v>
      </c>
      <c r="R4" s="2">
        <v>4.4537000000000004</v>
      </c>
      <c r="S4" s="2">
        <v>4.7068000000000003</v>
      </c>
      <c r="T4" s="2">
        <v>4.5003000000000002</v>
      </c>
      <c r="U4" s="2">
        <v>4.3681000000000001</v>
      </c>
      <c r="V4" s="2">
        <v>4.4627999999999997</v>
      </c>
      <c r="W4" s="2">
        <v>4.6496000000000004</v>
      </c>
      <c r="X4" s="2">
        <f t="shared" si="0"/>
        <v>4.5874250000000005</v>
      </c>
      <c r="Y4" s="2">
        <f t="shared" si="4"/>
        <v>0.12820097657481724</v>
      </c>
      <c r="Z4" s="2">
        <f t="shared" si="1"/>
        <v>2.7946173850213842</v>
      </c>
      <c r="AA4" s="2">
        <f t="shared" si="2"/>
        <v>4.3681000000000001</v>
      </c>
      <c r="AB4" s="2">
        <f t="shared" si="3"/>
        <v>4.7674000000000003</v>
      </c>
    </row>
    <row r="5" spans="1:28" x14ac:dyDescent="0.25">
      <c r="A5" t="s">
        <v>28</v>
      </c>
      <c r="B5" t="s">
        <v>29</v>
      </c>
      <c r="C5" t="s">
        <v>33</v>
      </c>
      <c r="D5" s="2">
        <v>0.90490000000000004</v>
      </c>
      <c r="E5" s="2">
        <v>0.90500000000000003</v>
      </c>
      <c r="F5" s="2">
        <v>0.9103</v>
      </c>
      <c r="G5" s="2">
        <v>0.91649999999999998</v>
      </c>
      <c r="H5" s="2">
        <v>0.90780000000000005</v>
      </c>
      <c r="I5" s="2">
        <v>0.91110000000000002</v>
      </c>
      <c r="J5" s="2">
        <v>0.90669999999999995</v>
      </c>
      <c r="K5" s="2">
        <v>0.91149999999999998</v>
      </c>
      <c r="L5" s="2">
        <v>0.91069999999999995</v>
      </c>
      <c r="M5" s="2">
        <v>0.90969999999999995</v>
      </c>
      <c r="N5" s="2">
        <v>0.90500000000000003</v>
      </c>
      <c r="O5" s="2">
        <v>0.9123</v>
      </c>
      <c r="P5" s="2">
        <v>0.90849999999999997</v>
      </c>
      <c r="Q5" s="2">
        <v>0.90449999999999997</v>
      </c>
      <c r="R5" s="2">
        <v>0.91549999999999998</v>
      </c>
      <c r="S5" s="2">
        <v>0.91090000000000004</v>
      </c>
      <c r="T5" s="2">
        <v>0.90480000000000005</v>
      </c>
      <c r="U5" s="2">
        <v>0.90600000000000003</v>
      </c>
      <c r="V5" s="2">
        <v>0.91180000000000005</v>
      </c>
      <c r="W5" s="2">
        <v>0.90849999999999997</v>
      </c>
      <c r="X5" s="2">
        <f t="shared" si="0"/>
        <v>0.90909999999999991</v>
      </c>
      <c r="Y5" s="2">
        <f t="shared" si="4"/>
        <v>3.5489064290433465E-3</v>
      </c>
      <c r="Z5" s="2">
        <f t="shared" si="1"/>
        <v>0.39037580343673378</v>
      </c>
      <c r="AA5" s="2">
        <f t="shared" si="2"/>
        <v>0.90449999999999997</v>
      </c>
      <c r="AB5" s="2">
        <f t="shared" si="3"/>
        <v>0.91649999999999998</v>
      </c>
    </row>
    <row r="6" spans="1:28" x14ac:dyDescent="0.25">
      <c r="A6" t="s">
        <v>28</v>
      </c>
      <c r="B6" t="s">
        <v>29</v>
      </c>
      <c r="C6" t="s">
        <v>34</v>
      </c>
      <c r="D6" s="2">
        <v>0.17050000000000001</v>
      </c>
      <c r="E6" s="2">
        <v>0.16969999999999999</v>
      </c>
      <c r="F6" s="2">
        <v>0.17849999999999999</v>
      </c>
      <c r="G6" s="2">
        <v>0.1767</v>
      </c>
      <c r="H6" s="2">
        <v>0.1734</v>
      </c>
      <c r="I6" s="2">
        <v>0.15989999999999999</v>
      </c>
      <c r="J6" s="2">
        <v>0.1852</v>
      </c>
      <c r="K6" s="2">
        <v>0.16569999999999999</v>
      </c>
      <c r="L6" s="2">
        <v>0.16919999999999999</v>
      </c>
      <c r="M6" s="2">
        <v>0.16569999999999999</v>
      </c>
      <c r="N6" s="2">
        <v>0.16889999999999999</v>
      </c>
      <c r="O6" s="2">
        <v>0.1686</v>
      </c>
      <c r="P6" s="2">
        <v>0.17199999999999999</v>
      </c>
      <c r="Q6" s="2">
        <v>0.1641</v>
      </c>
      <c r="R6" s="2">
        <v>0.1653</v>
      </c>
      <c r="S6" s="2">
        <v>0.1429</v>
      </c>
      <c r="T6" s="2">
        <v>0.17380000000000001</v>
      </c>
      <c r="U6" s="2">
        <v>0.17169999999999999</v>
      </c>
      <c r="V6" s="2">
        <v>0.17030000000000001</v>
      </c>
      <c r="W6" s="2">
        <v>0.16900000000000001</v>
      </c>
      <c r="X6" s="2">
        <f t="shared" si="0"/>
        <v>0.16905500000000001</v>
      </c>
      <c r="Y6" s="2">
        <f t="shared" si="4"/>
        <v>8.2677225910225902E-3</v>
      </c>
      <c r="Z6" s="2">
        <f t="shared" si="1"/>
        <v>4.8905519452382888</v>
      </c>
      <c r="AA6" s="2">
        <f t="shared" si="2"/>
        <v>0.1429</v>
      </c>
      <c r="AB6" s="2">
        <f t="shared" si="3"/>
        <v>0.1852</v>
      </c>
    </row>
    <row r="7" spans="1:28" x14ac:dyDescent="0.25">
      <c r="A7" t="s">
        <v>28</v>
      </c>
      <c r="B7" t="s">
        <v>35</v>
      </c>
      <c r="C7" t="s">
        <v>30</v>
      </c>
      <c r="D7" s="2">
        <v>0.60350000000000004</v>
      </c>
      <c r="E7" s="2">
        <v>0.59009999999999996</v>
      </c>
      <c r="F7" s="2">
        <v>0.62109999999999999</v>
      </c>
      <c r="G7" s="2">
        <v>0.63590000000000002</v>
      </c>
      <c r="H7" s="2">
        <v>0.62809999999999999</v>
      </c>
      <c r="I7" s="2">
        <v>0.61729999999999996</v>
      </c>
      <c r="J7" s="2">
        <v>0.64470000000000005</v>
      </c>
      <c r="K7" s="2">
        <v>0.62709999999999999</v>
      </c>
      <c r="L7" s="2">
        <v>0.60760000000000003</v>
      </c>
      <c r="M7" s="2">
        <v>0.5998</v>
      </c>
      <c r="N7" s="2">
        <v>0.62080000000000002</v>
      </c>
      <c r="O7" s="2">
        <v>0.61799999999999999</v>
      </c>
      <c r="P7" s="2">
        <v>0.61319999999999997</v>
      </c>
      <c r="Q7" s="2">
        <v>0.6351</v>
      </c>
      <c r="R7" s="2">
        <v>0.62370000000000003</v>
      </c>
      <c r="S7" s="2">
        <v>0.623</v>
      </c>
      <c r="T7" s="2">
        <v>0.63460000000000005</v>
      </c>
      <c r="U7" s="2">
        <v>0.64970000000000006</v>
      </c>
      <c r="V7" s="2">
        <v>0.60919999999999996</v>
      </c>
      <c r="W7" s="2">
        <v>0.64019999999999999</v>
      </c>
      <c r="X7" s="2">
        <f t="shared" si="0"/>
        <v>0.62213499999999988</v>
      </c>
      <c r="Y7" s="2">
        <f t="shared" si="4"/>
        <v>1.5467836748692785E-2</v>
      </c>
      <c r="Z7" s="2">
        <f t="shared" si="1"/>
        <v>2.4862508537042265</v>
      </c>
      <c r="AA7" s="2">
        <f t="shared" si="2"/>
        <v>0.59009999999999996</v>
      </c>
      <c r="AB7" s="2">
        <f t="shared" si="3"/>
        <v>0.64970000000000006</v>
      </c>
    </row>
    <row r="8" spans="1:28" x14ac:dyDescent="0.25">
      <c r="A8" t="s">
        <v>28</v>
      </c>
      <c r="B8" t="s">
        <v>35</v>
      </c>
      <c r="C8" t="s">
        <v>31</v>
      </c>
      <c r="D8" s="2">
        <v>0.81440000000000001</v>
      </c>
      <c r="E8" s="2">
        <v>0.8448</v>
      </c>
      <c r="F8" s="2">
        <v>0.79149999999999998</v>
      </c>
      <c r="G8" s="2">
        <v>0.83689999999999998</v>
      </c>
      <c r="H8" s="2">
        <v>0.83050000000000002</v>
      </c>
      <c r="I8" s="2">
        <v>0.7984</v>
      </c>
      <c r="J8" s="2">
        <v>0.81110000000000004</v>
      </c>
      <c r="K8" s="2">
        <v>0.83150000000000002</v>
      </c>
      <c r="L8" s="2">
        <v>0.84450000000000003</v>
      </c>
      <c r="M8" s="2">
        <v>0.83889999999999998</v>
      </c>
      <c r="N8" s="2">
        <v>0.85140000000000005</v>
      </c>
      <c r="O8" s="2">
        <v>0.81120000000000003</v>
      </c>
      <c r="P8" s="2">
        <v>0.84279999999999999</v>
      </c>
      <c r="Q8" s="2">
        <v>0.78549999999999998</v>
      </c>
      <c r="R8" s="2">
        <v>0.81189999999999996</v>
      </c>
      <c r="S8" s="2">
        <v>0.81699999999999995</v>
      </c>
      <c r="T8" s="2">
        <v>0.79259999999999997</v>
      </c>
      <c r="U8" s="2">
        <v>0.82730000000000004</v>
      </c>
      <c r="V8" s="2">
        <v>0.83630000000000004</v>
      </c>
      <c r="W8" s="2">
        <v>0.81040000000000001</v>
      </c>
      <c r="X8" s="2">
        <f t="shared" si="0"/>
        <v>0.82144499999999998</v>
      </c>
      <c r="Y8" s="2">
        <f t="shared" si="4"/>
        <v>1.9812581728206009E-2</v>
      </c>
      <c r="Z8" s="2">
        <f t="shared" si="1"/>
        <v>2.411918232895204</v>
      </c>
      <c r="AA8" s="2">
        <f t="shared" si="2"/>
        <v>0.78549999999999998</v>
      </c>
      <c r="AB8" s="2">
        <f t="shared" si="3"/>
        <v>0.85140000000000005</v>
      </c>
    </row>
    <row r="9" spans="1:28" x14ac:dyDescent="0.25">
      <c r="A9" t="s">
        <v>28</v>
      </c>
      <c r="B9" t="s">
        <v>35</v>
      </c>
      <c r="C9" t="s">
        <v>32</v>
      </c>
      <c r="D9" s="2">
        <v>5.1980000000000004</v>
      </c>
      <c r="E9" s="2">
        <v>5.1454000000000004</v>
      </c>
      <c r="F9" s="2">
        <v>5.2114000000000003</v>
      </c>
      <c r="G9" s="2">
        <v>4.9212999999999996</v>
      </c>
      <c r="H9" s="2">
        <v>5.0216000000000003</v>
      </c>
      <c r="I9" s="2">
        <v>4.9866000000000001</v>
      </c>
      <c r="J9" s="2">
        <v>5.0785999999999998</v>
      </c>
      <c r="K9" s="2">
        <v>5.3372999999999999</v>
      </c>
      <c r="L9" s="2">
        <v>5.6002000000000001</v>
      </c>
      <c r="M9" s="2">
        <v>5.5686999999999998</v>
      </c>
      <c r="N9" s="2">
        <v>5.3836000000000004</v>
      </c>
      <c r="O9" s="2">
        <v>5.149</v>
      </c>
      <c r="P9" s="2">
        <v>5.6421999999999999</v>
      </c>
      <c r="Q9" s="2">
        <v>5.5460000000000003</v>
      </c>
      <c r="R9" s="2">
        <v>5.1184000000000003</v>
      </c>
      <c r="S9" s="2">
        <v>5.2153999999999998</v>
      </c>
      <c r="T9" s="2">
        <v>5.1060999999999996</v>
      </c>
      <c r="U9" s="2">
        <v>5.4782000000000002</v>
      </c>
      <c r="V9" s="2">
        <v>5.3887999999999998</v>
      </c>
      <c r="W9" s="2">
        <v>5.0681000000000003</v>
      </c>
      <c r="X9" s="2">
        <f t="shared" si="0"/>
        <v>5.2582450000000005</v>
      </c>
      <c r="Y9" s="2">
        <f t="shared" si="4"/>
        <v>0.21977408609991447</v>
      </c>
      <c r="Z9" s="2">
        <f t="shared" si="1"/>
        <v>4.1796090920053066</v>
      </c>
      <c r="AA9" s="2">
        <f t="shared" si="2"/>
        <v>4.9212999999999996</v>
      </c>
      <c r="AB9" s="2">
        <f t="shared" si="3"/>
        <v>5.6421999999999999</v>
      </c>
    </row>
    <row r="10" spans="1:28" x14ac:dyDescent="0.25">
      <c r="A10" t="s">
        <v>28</v>
      </c>
      <c r="B10" t="s">
        <v>35</v>
      </c>
      <c r="C10" t="s">
        <v>33</v>
      </c>
      <c r="D10" s="2">
        <v>0.88939999999999997</v>
      </c>
      <c r="E10" s="2">
        <v>0.9012</v>
      </c>
      <c r="F10" s="2">
        <v>0.8992</v>
      </c>
      <c r="G10" s="2">
        <v>0.89649999999999996</v>
      </c>
      <c r="H10" s="2">
        <v>0.89929999999999999</v>
      </c>
      <c r="I10" s="2">
        <v>0.89680000000000004</v>
      </c>
      <c r="J10" s="2">
        <v>0.89190000000000003</v>
      </c>
      <c r="K10" s="2">
        <v>0.88680000000000003</v>
      </c>
      <c r="L10" s="2">
        <v>0.88819999999999999</v>
      </c>
      <c r="M10" s="2">
        <v>0.89219999999999999</v>
      </c>
      <c r="N10" s="2">
        <v>0.89429999999999998</v>
      </c>
      <c r="O10" s="2">
        <v>0.89249999999999996</v>
      </c>
      <c r="P10" s="2">
        <v>0.88470000000000004</v>
      </c>
      <c r="Q10" s="2">
        <v>0.89400000000000002</v>
      </c>
      <c r="R10" s="2">
        <v>0.89810000000000001</v>
      </c>
      <c r="S10" s="2">
        <v>0.88460000000000005</v>
      </c>
      <c r="T10" s="2">
        <v>0.89319999999999999</v>
      </c>
      <c r="U10" s="2">
        <v>0.89049999999999996</v>
      </c>
      <c r="V10" s="2">
        <v>0.88619999999999999</v>
      </c>
      <c r="W10" s="2">
        <v>0.90110000000000001</v>
      </c>
      <c r="X10" s="2">
        <f t="shared" si="0"/>
        <v>0.89303499999999991</v>
      </c>
      <c r="Y10" s="2">
        <f t="shared" si="4"/>
        <v>5.3057342366041697E-3</v>
      </c>
      <c r="Z10" s="2">
        <f t="shared" si="1"/>
        <v>0.59412388502177071</v>
      </c>
      <c r="AA10" s="2">
        <f t="shared" si="2"/>
        <v>0.88460000000000005</v>
      </c>
      <c r="AB10" s="2">
        <f t="shared" si="3"/>
        <v>0.9012</v>
      </c>
    </row>
    <row r="11" spans="1:28" x14ac:dyDescent="0.25">
      <c r="A11" t="s">
        <v>28</v>
      </c>
      <c r="B11" t="s">
        <v>35</v>
      </c>
      <c r="C11" t="s">
        <v>34</v>
      </c>
      <c r="D11" s="2">
        <v>0.1837</v>
      </c>
      <c r="E11" s="2">
        <v>0.20899999999999999</v>
      </c>
      <c r="F11" s="2">
        <v>0.1988</v>
      </c>
      <c r="G11" s="2">
        <v>0.20250000000000001</v>
      </c>
      <c r="H11" s="2">
        <v>0.20219999999999999</v>
      </c>
      <c r="I11" s="2">
        <v>0.18140000000000001</v>
      </c>
      <c r="J11" s="2">
        <v>0.20599999999999999</v>
      </c>
      <c r="K11" s="2">
        <v>0.17660000000000001</v>
      </c>
      <c r="L11" s="2">
        <v>0.21010000000000001</v>
      </c>
      <c r="M11" s="2">
        <v>0.2074</v>
      </c>
      <c r="N11" s="2">
        <v>0.19650000000000001</v>
      </c>
      <c r="O11" s="2">
        <v>0.20200000000000001</v>
      </c>
      <c r="P11" s="2">
        <v>0.2024</v>
      </c>
      <c r="Q11" s="2">
        <v>0.19600000000000001</v>
      </c>
      <c r="R11" s="2">
        <v>0.20300000000000001</v>
      </c>
      <c r="S11" s="2">
        <v>0.19320000000000001</v>
      </c>
      <c r="T11" s="2">
        <v>0.18329999999999999</v>
      </c>
      <c r="U11" s="2">
        <v>0.18809999999999999</v>
      </c>
      <c r="V11" s="2">
        <v>0.19769999999999999</v>
      </c>
      <c r="W11" s="2">
        <v>0.1918</v>
      </c>
      <c r="X11" s="2">
        <f t="shared" si="0"/>
        <v>0.19658499999999998</v>
      </c>
      <c r="Y11" s="2">
        <f t="shared" si="4"/>
        <v>9.7293519554841994E-3</v>
      </c>
      <c r="Z11" s="2">
        <f t="shared" si="1"/>
        <v>4.9491832822871533</v>
      </c>
      <c r="AA11" s="2">
        <f t="shared" si="2"/>
        <v>0.17660000000000001</v>
      </c>
      <c r="AB11" s="2">
        <f t="shared" si="3"/>
        <v>0.21010000000000001</v>
      </c>
    </row>
    <row r="12" spans="1:28" x14ac:dyDescent="0.25">
      <c r="A12" t="s">
        <v>28</v>
      </c>
      <c r="B12" t="s">
        <v>36</v>
      </c>
      <c r="C12" t="s">
        <v>30</v>
      </c>
      <c r="D12" s="2">
        <v>0.70399999999999996</v>
      </c>
      <c r="E12" s="2">
        <v>0.67159999999999997</v>
      </c>
      <c r="F12" s="2">
        <v>0.67430000000000001</v>
      </c>
      <c r="G12" s="2">
        <v>0.68899999999999995</v>
      </c>
      <c r="H12" s="2">
        <v>0.68700000000000006</v>
      </c>
      <c r="I12" s="2">
        <v>0.67379999999999995</v>
      </c>
      <c r="J12" s="2">
        <v>0.6825</v>
      </c>
      <c r="K12" s="2">
        <v>0.69450000000000001</v>
      </c>
      <c r="L12" s="2">
        <v>0.66320000000000001</v>
      </c>
      <c r="M12" s="2">
        <v>0.68520000000000003</v>
      </c>
      <c r="N12" s="2">
        <v>0.71419999999999995</v>
      </c>
      <c r="O12" s="2">
        <v>0.66479999999999995</v>
      </c>
      <c r="P12" s="2">
        <v>0.67230000000000001</v>
      </c>
      <c r="Q12" s="2">
        <v>0.6633</v>
      </c>
      <c r="R12" s="2">
        <v>0.7137</v>
      </c>
      <c r="S12" s="2">
        <v>0.66679999999999995</v>
      </c>
      <c r="T12" s="2">
        <v>0.69899999999999995</v>
      </c>
      <c r="U12" s="2">
        <v>0.71860000000000002</v>
      </c>
      <c r="V12" s="2">
        <v>0.65649999999999997</v>
      </c>
      <c r="W12" s="2">
        <v>0.70430000000000004</v>
      </c>
      <c r="X12" s="2">
        <f t="shared" si="0"/>
        <v>0.68492999999999993</v>
      </c>
      <c r="Y12" s="2">
        <f t="shared" si="4"/>
        <v>1.9097619030433586E-2</v>
      </c>
      <c r="Z12" s="2">
        <f t="shared" si="1"/>
        <v>2.7882585126120318</v>
      </c>
      <c r="AA12" s="2">
        <f t="shared" si="2"/>
        <v>0.65649999999999997</v>
      </c>
      <c r="AB12" s="2">
        <f t="shared" si="3"/>
        <v>0.71860000000000002</v>
      </c>
    </row>
    <row r="13" spans="1:28" x14ac:dyDescent="0.25">
      <c r="A13" t="s">
        <v>28</v>
      </c>
      <c r="B13" t="s">
        <v>36</v>
      </c>
      <c r="C13" t="s">
        <v>31</v>
      </c>
      <c r="D13" s="2">
        <v>0.88929999999999998</v>
      </c>
      <c r="E13" s="2">
        <v>0.93079999999999996</v>
      </c>
      <c r="F13" s="2">
        <v>0.91690000000000005</v>
      </c>
      <c r="G13" s="2">
        <v>0.89329999999999998</v>
      </c>
      <c r="H13" s="2">
        <v>0.90900000000000003</v>
      </c>
      <c r="I13" s="2">
        <v>0.88290000000000002</v>
      </c>
      <c r="J13" s="2">
        <v>0.89729999999999999</v>
      </c>
      <c r="K13" s="2">
        <v>0.93920000000000003</v>
      </c>
      <c r="L13" s="2">
        <v>0.90469999999999995</v>
      </c>
      <c r="M13" s="2">
        <v>0.94330000000000003</v>
      </c>
      <c r="N13" s="2">
        <v>0.86009999999999998</v>
      </c>
      <c r="O13" s="2">
        <v>0.88339999999999996</v>
      </c>
      <c r="P13" s="2">
        <v>0.91259999999999997</v>
      </c>
      <c r="Q13" s="2">
        <v>0.90100000000000002</v>
      </c>
      <c r="R13" s="2">
        <v>0.89549999999999996</v>
      </c>
      <c r="S13" s="2">
        <v>0.88249999999999995</v>
      </c>
      <c r="T13" s="2">
        <v>0.89400000000000002</v>
      </c>
      <c r="U13" s="2">
        <v>0.90600000000000003</v>
      </c>
      <c r="V13" s="2">
        <v>0.92689999999999995</v>
      </c>
      <c r="W13" s="2">
        <v>0.9173</v>
      </c>
      <c r="X13" s="2">
        <f t="shared" si="0"/>
        <v>0.90429999999999988</v>
      </c>
      <c r="Y13" s="2">
        <f t="shared" si="4"/>
        <v>2.0884242359907833E-2</v>
      </c>
      <c r="Z13" s="2">
        <f t="shared" si="1"/>
        <v>2.3094373946597186</v>
      </c>
      <c r="AA13" s="2">
        <f t="shared" si="2"/>
        <v>0.86009999999999998</v>
      </c>
      <c r="AB13" s="2">
        <f t="shared" si="3"/>
        <v>0.94330000000000003</v>
      </c>
    </row>
    <row r="14" spans="1:28" x14ac:dyDescent="0.25">
      <c r="A14" t="s">
        <v>28</v>
      </c>
      <c r="B14" t="s">
        <v>36</v>
      </c>
      <c r="C14" t="s">
        <v>32</v>
      </c>
      <c r="D14" s="2">
        <v>5.6676000000000002</v>
      </c>
      <c r="E14" s="2">
        <v>5.8414000000000001</v>
      </c>
      <c r="F14" s="2">
        <v>5.8757000000000001</v>
      </c>
      <c r="G14" s="2">
        <v>5.9466000000000001</v>
      </c>
      <c r="H14" s="2">
        <v>5.7545999999999999</v>
      </c>
      <c r="I14" s="2">
        <v>5.8541999999999996</v>
      </c>
      <c r="J14" s="2">
        <v>5.6504000000000003</v>
      </c>
      <c r="K14" s="2">
        <v>5.8644999999999996</v>
      </c>
      <c r="L14" s="2">
        <v>6.0566000000000004</v>
      </c>
      <c r="M14" s="2">
        <v>5.7488999999999999</v>
      </c>
      <c r="N14" s="2">
        <v>5.4410999999999996</v>
      </c>
      <c r="O14" s="2">
        <v>5.7374000000000001</v>
      </c>
      <c r="P14" s="2">
        <v>5.8192000000000004</v>
      </c>
      <c r="Q14" s="2">
        <v>5.8853999999999997</v>
      </c>
      <c r="R14" s="2">
        <v>5.9474</v>
      </c>
      <c r="S14" s="2">
        <v>5.8205999999999998</v>
      </c>
      <c r="T14" s="2">
        <v>5.6143999999999998</v>
      </c>
      <c r="U14" s="2">
        <v>5.7862</v>
      </c>
      <c r="V14" s="2">
        <v>5.5514999999999999</v>
      </c>
      <c r="W14" s="2">
        <v>5.6870000000000003</v>
      </c>
      <c r="X14" s="2">
        <f t="shared" si="0"/>
        <v>5.7775349999999994</v>
      </c>
      <c r="Y14" s="2">
        <f t="shared" si="4"/>
        <v>0.14655090107284627</v>
      </c>
      <c r="Z14" s="2">
        <f t="shared" si="1"/>
        <v>2.5365644876724462</v>
      </c>
      <c r="AA14" s="2">
        <f t="shared" si="2"/>
        <v>5.4410999999999996</v>
      </c>
      <c r="AB14" s="2">
        <f t="shared" si="3"/>
        <v>6.0566000000000004</v>
      </c>
    </row>
    <row r="15" spans="1:28" x14ac:dyDescent="0.25">
      <c r="A15" t="s">
        <v>28</v>
      </c>
      <c r="B15" t="s">
        <v>36</v>
      </c>
      <c r="C15" t="s">
        <v>33</v>
      </c>
      <c r="D15" s="2">
        <v>0.88580000000000003</v>
      </c>
      <c r="E15" s="2">
        <v>0.8901</v>
      </c>
      <c r="F15" s="2">
        <v>0.88170000000000004</v>
      </c>
      <c r="G15" s="2">
        <v>0.88880000000000003</v>
      </c>
      <c r="H15" s="2">
        <v>0.88319999999999999</v>
      </c>
      <c r="I15" s="2">
        <v>0.88660000000000005</v>
      </c>
      <c r="J15" s="2">
        <v>0.88729999999999998</v>
      </c>
      <c r="K15" s="2">
        <v>0.88529999999999998</v>
      </c>
      <c r="L15" s="2">
        <v>0.87619999999999998</v>
      </c>
      <c r="M15" s="2">
        <v>0.88200000000000001</v>
      </c>
      <c r="N15" s="2">
        <v>0.88419999999999999</v>
      </c>
      <c r="O15" s="2">
        <v>0.89600000000000002</v>
      </c>
      <c r="P15" s="2">
        <v>0.8821</v>
      </c>
      <c r="Q15" s="2">
        <v>0.88439999999999996</v>
      </c>
      <c r="R15" s="2">
        <v>0.89159999999999995</v>
      </c>
      <c r="S15" s="2">
        <v>0.88339999999999996</v>
      </c>
      <c r="T15" s="2">
        <v>0.88119999999999998</v>
      </c>
      <c r="U15" s="2">
        <v>0.87890000000000001</v>
      </c>
      <c r="V15" s="2">
        <v>0.88529999999999998</v>
      </c>
      <c r="W15" s="2">
        <v>0.89019999999999999</v>
      </c>
      <c r="X15" s="2">
        <f t="shared" si="0"/>
        <v>0.88521499999999997</v>
      </c>
      <c r="Y15" s="2">
        <f t="shared" si="4"/>
        <v>4.6111164306317535E-3</v>
      </c>
      <c r="Z15" s="2">
        <f t="shared" si="1"/>
        <v>0.52090355796408261</v>
      </c>
      <c r="AA15" s="2">
        <f t="shared" si="2"/>
        <v>0.87619999999999998</v>
      </c>
      <c r="AB15" s="2">
        <f t="shared" si="3"/>
        <v>0.89600000000000002</v>
      </c>
    </row>
    <row r="16" spans="1:28" x14ac:dyDescent="0.25">
      <c r="A16" t="s">
        <v>28</v>
      </c>
      <c r="B16" t="s">
        <v>36</v>
      </c>
      <c r="C16" t="s">
        <v>34</v>
      </c>
      <c r="D16" s="2">
        <v>0.21890000000000001</v>
      </c>
      <c r="E16" s="2">
        <v>0.23369999999999999</v>
      </c>
      <c r="F16" s="2">
        <v>0.20710000000000001</v>
      </c>
      <c r="G16" s="2">
        <v>0.2031</v>
      </c>
      <c r="H16" s="2">
        <v>0.2286</v>
      </c>
      <c r="I16" s="2">
        <v>0.23730000000000001</v>
      </c>
      <c r="J16" s="2">
        <v>0.20369999999999999</v>
      </c>
      <c r="K16" s="2">
        <v>0.21479999999999999</v>
      </c>
      <c r="L16" s="2">
        <v>0.23130000000000001</v>
      </c>
      <c r="M16" s="2">
        <v>0.20200000000000001</v>
      </c>
      <c r="N16" s="2">
        <v>0.20699999999999999</v>
      </c>
      <c r="O16" s="2">
        <v>0.2112</v>
      </c>
      <c r="P16" s="2">
        <v>0.23350000000000001</v>
      </c>
      <c r="Q16" s="2">
        <v>0.2346</v>
      </c>
      <c r="R16" s="2">
        <v>0.2203</v>
      </c>
      <c r="S16" s="2">
        <v>0.22559999999999999</v>
      </c>
      <c r="T16" s="2">
        <v>0.2248</v>
      </c>
      <c r="U16" s="2">
        <v>0.22770000000000001</v>
      </c>
      <c r="V16" s="2">
        <v>0.23599999999999999</v>
      </c>
      <c r="W16" s="2">
        <v>0.21629999999999999</v>
      </c>
      <c r="X16" s="2">
        <f t="shared" si="0"/>
        <v>0.22087499999999999</v>
      </c>
      <c r="Y16" s="2">
        <f t="shared" si="4"/>
        <v>1.2071274079182232E-2</v>
      </c>
      <c r="Z16" s="2">
        <f t="shared" si="1"/>
        <v>5.4652061479036709</v>
      </c>
      <c r="AA16" s="2">
        <f t="shared" si="2"/>
        <v>0.20200000000000001</v>
      </c>
      <c r="AB16" s="2">
        <f t="shared" si="3"/>
        <v>0.23730000000000001</v>
      </c>
    </row>
    <row r="17" spans="1:28" x14ac:dyDescent="0.25">
      <c r="A17" t="s">
        <v>28</v>
      </c>
      <c r="B17" t="s">
        <v>37</v>
      </c>
      <c r="C17" t="s">
        <v>30</v>
      </c>
      <c r="D17" s="2">
        <v>0.73939999999999995</v>
      </c>
      <c r="E17" s="2">
        <v>0.74419999999999997</v>
      </c>
      <c r="F17" s="2">
        <v>0.72170000000000001</v>
      </c>
      <c r="G17" s="2">
        <v>0.77759999999999996</v>
      </c>
      <c r="H17" s="2">
        <v>0.73860000000000003</v>
      </c>
      <c r="I17" s="2">
        <v>0.77110000000000001</v>
      </c>
      <c r="J17" s="2">
        <v>0.74039999999999995</v>
      </c>
      <c r="K17" s="2">
        <v>0.78639999999999999</v>
      </c>
      <c r="L17" s="2">
        <v>0.72330000000000005</v>
      </c>
      <c r="M17" s="2">
        <v>0.72130000000000005</v>
      </c>
      <c r="N17" s="2">
        <v>0.79139999999999999</v>
      </c>
      <c r="O17" s="2">
        <v>0.75609999999999999</v>
      </c>
      <c r="P17" s="2">
        <v>0.75549999999999995</v>
      </c>
      <c r="Q17" s="2">
        <v>0.74509999999999998</v>
      </c>
      <c r="R17" s="2">
        <v>0.77549999999999997</v>
      </c>
      <c r="S17" s="2">
        <v>0.78979999999999995</v>
      </c>
      <c r="T17" s="2">
        <v>0.75380000000000003</v>
      </c>
      <c r="U17" s="2">
        <v>0.75239999999999996</v>
      </c>
      <c r="V17" s="2">
        <v>0.74739999999999995</v>
      </c>
      <c r="W17" s="2">
        <v>0.70889999999999997</v>
      </c>
      <c r="X17" s="2">
        <f t="shared" si="0"/>
        <v>0.75199500000000008</v>
      </c>
      <c r="Y17" s="2">
        <f t="shared" si="4"/>
        <v>2.3966873519835435E-2</v>
      </c>
      <c r="Z17" s="2">
        <f t="shared" si="1"/>
        <v>3.1871054355195758</v>
      </c>
      <c r="AA17" s="2">
        <f t="shared" si="2"/>
        <v>0.70889999999999997</v>
      </c>
      <c r="AB17" s="2">
        <f t="shared" si="3"/>
        <v>0.79139999999999999</v>
      </c>
    </row>
    <row r="18" spans="1:28" x14ac:dyDescent="0.25">
      <c r="A18" t="s">
        <v>28</v>
      </c>
      <c r="B18" t="s">
        <v>37</v>
      </c>
      <c r="C18" t="s">
        <v>31</v>
      </c>
      <c r="D18" s="2">
        <v>1.0085999999999999</v>
      </c>
      <c r="E18" s="2">
        <v>0.97560000000000002</v>
      </c>
      <c r="F18" s="2">
        <v>1.0397000000000001</v>
      </c>
      <c r="G18" s="2">
        <v>0.96319999999999995</v>
      </c>
      <c r="H18" s="2">
        <v>1.0008999999999999</v>
      </c>
      <c r="I18" s="2">
        <v>0.94189999999999996</v>
      </c>
      <c r="J18" s="2">
        <v>1.0515000000000001</v>
      </c>
      <c r="K18" s="2">
        <v>0.95179999999999998</v>
      </c>
      <c r="L18" s="2">
        <v>1.0570999999999999</v>
      </c>
      <c r="M18" s="2">
        <v>0.99729999999999996</v>
      </c>
      <c r="N18" s="2">
        <v>1.0103</v>
      </c>
      <c r="O18" s="2">
        <v>0.95940000000000003</v>
      </c>
      <c r="P18" s="2">
        <v>1.0183</v>
      </c>
      <c r="Q18" s="2">
        <v>0.99309999999999998</v>
      </c>
      <c r="R18" s="2">
        <v>0.97419999999999995</v>
      </c>
      <c r="S18" s="2">
        <v>0.95399999999999996</v>
      </c>
      <c r="T18" s="2">
        <v>1.0647</v>
      </c>
      <c r="U18" s="2">
        <v>1.0478000000000001</v>
      </c>
      <c r="V18" s="2">
        <v>0.95669999999999999</v>
      </c>
      <c r="W18" s="2">
        <v>1.0098</v>
      </c>
      <c r="X18" s="2">
        <f t="shared" si="0"/>
        <v>0.99879499999999977</v>
      </c>
      <c r="Y18" s="2">
        <f t="shared" si="4"/>
        <v>3.876424661707583E-2</v>
      </c>
      <c r="Z18" s="2">
        <f t="shared" si="1"/>
        <v>3.8811013888811856</v>
      </c>
      <c r="AA18" s="2">
        <f t="shared" si="2"/>
        <v>0.94189999999999996</v>
      </c>
      <c r="AB18" s="2">
        <f t="shared" si="3"/>
        <v>1.0647</v>
      </c>
    </row>
    <row r="19" spans="1:28" x14ac:dyDescent="0.25">
      <c r="A19" t="s">
        <v>28</v>
      </c>
      <c r="B19" t="s">
        <v>37</v>
      </c>
      <c r="C19" t="s">
        <v>32</v>
      </c>
      <c r="D19" s="2">
        <v>6.0959000000000003</v>
      </c>
      <c r="E19" s="2">
        <v>6.2030000000000003</v>
      </c>
      <c r="F19" s="2">
        <v>6.5972</v>
      </c>
      <c r="G19" s="2">
        <v>6.7252999999999998</v>
      </c>
      <c r="H19" s="2">
        <v>6.4710000000000001</v>
      </c>
      <c r="I19" s="2">
        <v>6.3575999999999997</v>
      </c>
      <c r="J19" s="2">
        <v>6.5274000000000001</v>
      </c>
      <c r="K19" s="2">
        <v>6.5476999999999999</v>
      </c>
      <c r="L19" s="2">
        <v>6.4465000000000003</v>
      </c>
      <c r="M19" s="2">
        <v>6.4142999999999999</v>
      </c>
      <c r="N19" s="2">
        <v>6.5526999999999997</v>
      </c>
      <c r="O19" s="2">
        <v>6.0698999999999996</v>
      </c>
      <c r="P19" s="2">
        <v>6.4726999999999997</v>
      </c>
      <c r="Q19" s="2">
        <v>6.2257999999999996</v>
      </c>
      <c r="R19" s="2">
        <v>6.2961999999999998</v>
      </c>
      <c r="S19" s="2">
        <v>6.1529999999999996</v>
      </c>
      <c r="T19" s="2">
        <v>6.4722</v>
      </c>
      <c r="U19" s="2">
        <v>6.82</v>
      </c>
      <c r="V19" s="2">
        <v>6.2308000000000003</v>
      </c>
      <c r="W19" s="2">
        <v>5.7351999999999999</v>
      </c>
      <c r="X19" s="2">
        <f t="shared" si="0"/>
        <v>6.3707200000000004</v>
      </c>
      <c r="Y19" s="2">
        <f t="shared" si="4"/>
        <v>0.25110252802181698</v>
      </c>
      <c r="Z19" s="2">
        <f t="shared" si="1"/>
        <v>3.9415094058727584</v>
      </c>
      <c r="AA19" s="2">
        <f t="shared" si="2"/>
        <v>5.7351999999999999</v>
      </c>
      <c r="AB19" s="2">
        <f t="shared" si="3"/>
        <v>6.82</v>
      </c>
    </row>
    <row r="20" spans="1:28" x14ac:dyDescent="0.25">
      <c r="A20" t="s">
        <v>28</v>
      </c>
      <c r="B20" t="s">
        <v>37</v>
      </c>
      <c r="C20" t="s">
        <v>33</v>
      </c>
      <c r="D20" s="2">
        <v>0.86619999999999997</v>
      </c>
      <c r="E20" s="2">
        <v>0.86960000000000004</v>
      </c>
      <c r="F20" s="2">
        <v>0.86429999999999996</v>
      </c>
      <c r="G20" s="2">
        <v>0.87529999999999997</v>
      </c>
      <c r="H20" s="2">
        <v>0.86629999999999996</v>
      </c>
      <c r="I20" s="2">
        <v>0.87039999999999995</v>
      </c>
      <c r="J20" s="2">
        <v>0.88329999999999997</v>
      </c>
      <c r="K20" s="2">
        <v>0.88239999999999996</v>
      </c>
      <c r="L20" s="2">
        <v>0.87219999999999998</v>
      </c>
      <c r="M20" s="2">
        <v>0.87119999999999997</v>
      </c>
      <c r="N20" s="2">
        <v>0.85329999999999995</v>
      </c>
      <c r="O20" s="2">
        <v>0.87339999999999995</v>
      </c>
      <c r="P20" s="2">
        <v>0.87490000000000001</v>
      </c>
      <c r="Q20" s="2">
        <v>0.86929999999999996</v>
      </c>
      <c r="R20" s="2">
        <v>0.87819999999999998</v>
      </c>
      <c r="S20" s="2">
        <v>0.87209999999999999</v>
      </c>
      <c r="T20" s="2">
        <v>0.8629</v>
      </c>
      <c r="U20" s="2">
        <v>0.87460000000000004</v>
      </c>
      <c r="V20" s="2">
        <v>0.86719999999999997</v>
      </c>
      <c r="W20" s="2">
        <v>0.87470000000000003</v>
      </c>
      <c r="X20" s="2">
        <f t="shared" si="0"/>
        <v>0.87109000000000003</v>
      </c>
      <c r="Y20" s="2">
        <f t="shared" si="4"/>
        <v>6.8452749742931654E-3</v>
      </c>
      <c r="Z20" s="2">
        <f t="shared" si="1"/>
        <v>0.78582867146829438</v>
      </c>
      <c r="AA20" s="2">
        <f t="shared" si="2"/>
        <v>0.85329999999999995</v>
      </c>
      <c r="AB20" s="2">
        <f t="shared" si="3"/>
        <v>0.88329999999999997</v>
      </c>
    </row>
    <row r="21" spans="1:28" x14ac:dyDescent="0.25">
      <c r="A21" t="s">
        <v>28</v>
      </c>
      <c r="B21" t="s">
        <v>37</v>
      </c>
      <c r="C21" t="s">
        <v>34</v>
      </c>
      <c r="D21" s="2">
        <v>0.23830000000000001</v>
      </c>
      <c r="E21" s="2">
        <v>0.24379999999999999</v>
      </c>
      <c r="F21" s="2">
        <v>0.2737</v>
      </c>
      <c r="G21" s="2">
        <v>0.23630000000000001</v>
      </c>
      <c r="H21" s="2">
        <v>0.23280000000000001</v>
      </c>
      <c r="I21" s="2">
        <v>0.23930000000000001</v>
      </c>
      <c r="J21" s="2">
        <v>0.26019999999999999</v>
      </c>
      <c r="K21" s="2">
        <v>0.2571</v>
      </c>
      <c r="L21" s="2">
        <v>0.25169999999999998</v>
      </c>
      <c r="M21" s="2">
        <v>0.25009999999999999</v>
      </c>
      <c r="N21" s="2">
        <v>0.23400000000000001</v>
      </c>
      <c r="O21" s="2">
        <v>0.24390000000000001</v>
      </c>
      <c r="P21" s="2">
        <v>0.24610000000000001</v>
      </c>
      <c r="Q21" s="2">
        <v>0.2417</v>
      </c>
      <c r="R21" s="2">
        <v>0.2581</v>
      </c>
      <c r="S21" s="2">
        <v>0.25209999999999999</v>
      </c>
      <c r="T21" s="2">
        <v>0.24929999999999999</v>
      </c>
      <c r="U21" s="2">
        <v>0.23980000000000001</v>
      </c>
      <c r="V21" s="2">
        <v>0.252</v>
      </c>
      <c r="W21" s="2">
        <v>0.2545</v>
      </c>
      <c r="X21" s="2">
        <f t="shared" si="0"/>
        <v>0.24773999999999999</v>
      </c>
      <c r="Y21" s="2">
        <f t="shared" si="4"/>
        <v>1.0173101788540202E-2</v>
      </c>
      <c r="Z21" s="2">
        <f t="shared" si="1"/>
        <v>4.1063622299750557</v>
      </c>
      <c r="AA21" s="2">
        <f t="shared" si="2"/>
        <v>0.23280000000000001</v>
      </c>
      <c r="AB21" s="2">
        <f t="shared" si="3"/>
        <v>0.2737</v>
      </c>
    </row>
    <row r="22" spans="1:28" x14ac:dyDescent="0.25">
      <c r="A22" t="s">
        <v>28</v>
      </c>
      <c r="B22" t="s">
        <v>38</v>
      </c>
      <c r="C22" t="s">
        <v>30</v>
      </c>
      <c r="D22" s="2">
        <v>0.81140000000000001</v>
      </c>
      <c r="E22" s="2">
        <v>0.86890000000000001</v>
      </c>
      <c r="F22" s="2">
        <v>0.79039999999999999</v>
      </c>
      <c r="G22" s="2">
        <v>0.82320000000000004</v>
      </c>
      <c r="H22" s="2">
        <v>0.76729999999999998</v>
      </c>
      <c r="I22" s="2">
        <v>0.82620000000000005</v>
      </c>
      <c r="J22" s="2">
        <v>0.84209999999999996</v>
      </c>
      <c r="K22" s="2">
        <v>0.76370000000000005</v>
      </c>
      <c r="L22" s="2">
        <v>0.81730000000000003</v>
      </c>
      <c r="M22" s="2">
        <v>0.81479999999999997</v>
      </c>
      <c r="N22" s="2">
        <v>0.80489999999999995</v>
      </c>
      <c r="O22" s="2">
        <v>0.8659</v>
      </c>
      <c r="P22" s="2">
        <v>0.75790000000000002</v>
      </c>
      <c r="Q22" s="2">
        <v>0.8145</v>
      </c>
      <c r="R22" s="2">
        <v>0.8891</v>
      </c>
      <c r="S22" s="2">
        <v>0.77949999999999997</v>
      </c>
      <c r="T22" s="2">
        <v>0.81389999999999996</v>
      </c>
      <c r="U22" s="2">
        <v>0.82199999999999995</v>
      </c>
      <c r="V22" s="2">
        <v>0.79610000000000003</v>
      </c>
      <c r="W22" s="2">
        <v>0.84750000000000003</v>
      </c>
      <c r="X22" s="2">
        <f t="shared" si="0"/>
        <v>0.81583000000000006</v>
      </c>
      <c r="Y22" s="2">
        <f t="shared" si="4"/>
        <v>3.5181605540694882E-2</v>
      </c>
      <c r="Z22" s="2">
        <f t="shared" si="1"/>
        <v>4.3123696775915175</v>
      </c>
      <c r="AA22" s="2">
        <f t="shared" si="2"/>
        <v>0.75790000000000002</v>
      </c>
      <c r="AB22" s="2">
        <f t="shared" si="3"/>
        <v>0.8891</v>
      </c>
    </row>
    <row r="23" spans="1:28" x14ac:dyDescent="0.25">
      <c r="A23" t="s">
        <v>28</v>
      </c>
      <c r="B23" t="s">
        <v>38</v>
      </c>
      <c r="C23" t="s">
        <v>31</v>
      </c>
      <c r="D23" s="2">
        <v>1.0885</v>
      </c>
      <c r="E23" s="2">
        <v>1.0305</v>
      </c>
      <c r="F23" s="2">
        <v>1.0669</v>
      </c>
      <c r="G23" s="2">
        <v>0.98970000000000002</v>
      </c>
      <c r="H23" s="2">
        <v>1.0668</v>
      </c>
      <c r="I23" s="2">
        <v>1.073</v>
      </c>
      <c r="J23" s="2">
        <v>1.1069</v>
      </c>
      <c r="K23" s="2">
        <v>1.0639000000000001</v>
      </c>
      <c r="L23" s="2">
        <v>1.1473</v>
      </c>
      <c r="M23" s="2">
        <v>1.0442</v>
      </c>
      <c r="N23" s="2">
        <v>1.0569</v>
      </c>
      <c r="O23" s="2">
        <v>1.0603</v>
      </c>
      <c r="P23" s="2">
        <v>1.0389999999999999</v>
      </c>
      <c r="Q23" s="2">
        <v>1.0660000000000001</v>
      </c>
      <c r="R23" s="2">
        <v>1.1469</v>
      </c>
      <c r="S23" s="2">
        <v>1.0939000000000001</v>
      </c>
      <c r="T23" s="2">
        <v>1.0287999999999999</v>
      </c>
      <c r="U23" s="2">
        <v>1.0794999999999999</v>
      </c>
      <c r="V23" s="2">
        <v>1.1035999999999999</v>
      </c>
      <c r="W23" s="2">
        <v>1.1533</v>
      </c>
      <c r="X23" s="2">
        <f t="shared" si="0"/>
        <v>1.0752950000000001</v>
      </c>
      <c r="Y23" s="2">
        <f t="shared" si="4"/>
        <v>4.1953300792290725E-2</v>
      </c>
      <c r="Z23" s="2">
        <f t="shared" si="1"/>
        <v>3.9015619706490519</v>
      </c>
      <c r="AA23" s="2">
        <f t="shared" si="2"/>
        <v>0.98970000000000002</v>
      </c>
      <c r="AB23" s="2">
        <f t="shared" si="3"/>
        <v>1.1533</v>
      </c>
    </row>
    <row r="24" spans="1:28" x14ac:dyDescent="0.25">
      <c r="A24" t="s">
        <v>28</v>
      </c>
      <c r="B24" t="s">
        <v>38</v>
      </c>
      <c r="C24" t="s">
        <v>32</v>
      </c>
      <c r="D24" s="2">
        <v>6.968</v>
      </c>
      <c r="E24" s="2">
        <v>6.3392999999999997</v>
      </c>
      <c r="F24" s="2">
        <v>6.7964000000000002</v>
      </c>
      <c r="G24" s="2">
        <v>6.6669999999999998</v>
      </c>
      <c r="H24" s="2">
        <v>6.7606000000000002</v>
      </c>
      <c r="I24" s="2">
        <v>7.1414</v>
      </c>
      <c r="J24" s="2">
        <v>7.2434000000000003</v>
      </c>
      <c r="K24" s="2">
        <v>7.2709000000000001</v>
      </c>
      <c r="L24" s="2">
        <v>6.7153999999999998</v>
      </c>
      <c r="M24" s="2">
        <v>6.8110999999999997</v>
      </c>
      <c r="N24" s="2">
        <v>7.0092999999999996</v>
      </c>
      <c r="O24" s="2">
        <v>6.9333</v>
      </c>
      <c r="P24" s="2">
        <v>6.9737999999999998</v>
      </c>
      <c r="Q24" s="2">
        <v>6.6509999999999998</v>
      </c>
      <c r="R24" s="2">
        <v>7.2347000000000001</v>
      </c>
      <c r="S24" s="2">
        <v>7.2458999999999998</v>
      </c>
      <c r="T24" s="2">
        <v>6.8022999999999998</v>
      </c>
      <c r="U24" s="2">
        <v>7.2027000000000001</v>
      </c>
      <c r="V24" s="2">
        <v>6.8487</v>
      </c>
      <c r="W24" s="2">
        <v>7.0351999999999997</v>
      </c>
      <c r="X24" s="2">
        <f t="shared" si="0"/>
        <v>6.9325200000000011</v>
      </c>
      <c r="Y24" s="2">
        <f t="shared" si="4"/>
        <v>0.24839628058915522</v>
      </c>
      <c r="Z24" s="2">
        <f t="shared" si="1"/>
        <v>3.5830589827242498</v>
      </c>
      <c r="AA24" s="2">
        <f t="shared" si="2"/>
        <v>6.3392999999999997</v>
      </c>
      <c r="AB24" s="2">
        <f t="shared" si="3"/>
        <v>7.2709000000000001</v>
      </c>
    </row>
    <row r="25" spans="1:28" x14ac:dyDescent="0.25">
      <c r="A25" t="s">
        <v>28</v>
      </c>
      <c r="B25" t="s">
        <v>38</v>
      </c>
      <c r="C25" t="s">
        <v>33</v>
      </c>
      <c r="D25" s="2">
        <v>0.85609999999999997</v>
      </c>
      <c r="E25" s="2">
        <v>0.86070000000000002</v>
      </c>
      <c r="F25" s="2">
        <v>0.86380000000000001</v>
      </c>
      <c r="G25" s="2">
        <v>0.85809999999999997</v>
      </c>
      <c r="H25" s="2">
        <v>0.84689999999999999</v>
      </c>
      <c r="I25" s="2">
        <v>0.86180000000000001</v>
      </c>
      <c r="J25" s="2">
        <v>0.86309999999999998</v>
      </c>
      <c r="K25" s="2">
        <v>0.85650000000000004</v>
      </c>
      <c r="L25" s="2">
        <v>0.85919999999999996</v>
      </c>
      <c r="M25" s="2">
        <v>0.87470000000000003</v>
      </c>
      <c r="N25" s="2">
        <v>0.85870000000000002</v>
      </c>
      <c r="O25" s="2">
        <v>0.86750000000000005</v>
      </c>
      <c r="P25" s="2">
        <v>0.86360000000000003</v>
      </c>
      <c r="Q25" s="2">
        <v>0.877</v>
      </c>
      <c r="R25" s="2">
        <v>0.85870000000000002</v>
      </c>
      <c r="S25" s="2">
        <v>0.872</v>
      </c>
      <c r="T25" s="2">
        <v>0.8569</v>
      </c>
      <c r="U25" s="2">
        <v>0.86439999999999995</v>
      </c>
      <c r="V25" s="2">
        <v>0.85389999999999999</v>
      </c>
      <c r="W25" s="2">
        <v>0.86539999999999995</v>
      </c>
      <c r="X25" s="2">
        <f t="shared" si="0"/>
        <v>0.86194999999999999</v>
      </c>
      <c r="Y25" s="2">
        <f t="shared" si="4"/>
        <v>7.1527322714728045E-3</v>
      </c>
      <c r="Z25" s="2">
        <f t="shared" si="1"/>
        <v>0.82983146023235743</v>
      </c>
      <c r="AA25" s="2">
        <f t="shared" si="2"/>
        <v>0.84689999999999999</v>
      </c>
      <c r="AB25" s="2">
        <f t="shared" si="3"/>
        <v>0.877</v>
      </c>
    </row>
    <row r="26" spans="1:28" x14ac:dyDescent="0.25">
      <c r="A26" t="s">
        <v>28</v>
      </c>
      <c r="B26" t="s">
        <v>38</v>
      </c>
      <c r="C26" t="s">
        <v>34</v>
      </c>
      <c r="D26" s="2">
        <v>0.2767</v>
      </c>
      <c r="E26" s="2">
        <v>0.24540000000000001</v>
      </c>
      <c r="F26" s="2">
        <v>0.26840000000000003</v>
      </c>
      <c r="G26" s="2">
        <v>0.28239999999999998</v>
      </c>
      <c r="H26" s="2">
        <v>0.28549999999999998</v>
      </c>
      <c r="I26" s="2">
        <v>0.25609999999999999</v>
      </c>
      <c r="J26" s="2">
        <v>0.27400000000000002</v>
      </c>
      <c r="K26" s="2">
        <v>0.25609999999999999</v>
      </c>
      <c r="L26" s="2">
        <v>0.28039999999999998</v>
      </c>
      <c r="M26" s="2">
        <v>0.24510000000000001</v>
      </c>
      <c r="N26" s="2">
        <v>0.26029999999999998</v>
      </c>
      <c r="O26" s="2">
        <v>0.28670000000000001</v>
      </c>
      <c r="P26" s="2">
        <v>0.2621</v>
      </c>
      <c r="Q26" s="2">
        <v>0.26619999999999999</v>
      </c>
      <c r="R26" s="2">
        <v>0.29310000000000003</v>
      </c>
      <c r="S26" s="2">
        <v>0.25580000000000003</v>
      </c>
      <c r="T26" s="2">
        <v>0.24929999999999999</v>
      </c>
      <c r="U26" s="2">
        <v>0.28129999999999999</v>
      </c>
      <c r="V26" s="2">
        <v>0.28000000000000003</v>
      </c>
      <c r="W26" s="2">
        <v>0.27679999999999999</v>
      </c>
      <c r="X26" s="2">
        <f t="shared" si="0"/>
        <v>0.26908499999999996</v>
      </c>
      <c r="Y26" s="2">
        <f t="shared" si="4"/>
        <v>1.4596260335766614E-2</v>
      </c>
      <c r="Z26" s="2">
        <f t="shared" si="1"/>
        <v>5.4244050525917897</v>
      </c>
      <c r="AA26" s="2">
        <f t="shared" si="2"/>
        <v>0.24510000000000001</v>
      </c>
      <c r="AB26" s="2">
        <f t="shared" si="3"/>
        <v>0.29310000000000003</v>
      </c>
    </row>
    <row r="27" spans="1:28" x14ac:dyDescent="0.25">
      <c r="A27" t="s">
        <v>39</v>
      </c>
      <c r="B27" t="s">
        <v>40</v>
      </c>
      <c r="C27" t="s">
        <v>30</v>
      </c>
      <c r="D27" s="2">
        <v>0.52100000000000002</v>
      </c>
      <c r="E27" s="2">
        <v>0.5504</v>
      </c>
      <c r="F27" s="2">
        <v>0.54690000000000005</v>
      </c>
      <c r="G27" s="2">
        <v>0.53400000000000003</v>
      </c>
      <c r="H27" s="2">
        <v>0.53680000000000005</v>
      </c>
      <c r="I27" s="2">
        <v>0.54800000000000004</v>
      </c>
      <c r="J27" s="2">
        <v>0.50490000000000002</v>
      </c>
      <c r="K27" s="2">
        <v>0.54669999999999996</v>
      </c>
      <c r="L27" s="2">
        <v>0.54490000000000005</v>
      </c>
      <c r="M27" s="2">
        <v>0.54990000000000006</v>
      </c>
      <c r="N27" s="2">
        <v>0.55269999999999997</v>
      </c>
      <c r="O27" s="2">
        <v>0.57250000000000001</v>
      </c>
      <c r="P27" s="2">
        <v>0.51580000000000004</v>
      </c>
      <c r="Q27" s="2">
        <v>0.57330000000000003</v>
      </c>
      <c r="R27" s="2">
        <v>0.55479999999999996</v>
      </c>
      <c r="S27" s="2">
        <v>0.55920000000000003</v>
      </c>
      <c r="T27" s="2">
        <v>0.54310000000000003</v>
      </c>
      <c r="U27" s="2">
        <v>0.55169999999999997</v>
      </c>
      <c r="V27" s="2">
        <v>0.51519999999999999</v>
      </c>
      <c r="W27" s="2">
        <v>0.52059999999999995</v>
      </c>
      <c r="X27" s="2">
        <f t="shared" si="0"/>
        <v>0.54212000000000005</v>
      </c>
      <c r="Y27" s="2">
        <f t="shared" si="4"/>
        <v>1.860063949098751E-2</v>
      </c>
      <c r="Z27" s="2">
        <f t="shared" si="1"/>
        <v>3.4310926531003294</v>
      </c>
      <c r="AA27" s="2">
        <f t="shared" si="2"/>
        <v>0.50490000000000002</v>
      </c>
      <c r="AB27" s="2">
        <f t="shared" si="3"/>
        <v>0.57330000000000003</v>
      </c>
    </row>
    <row r="28" spans="1:28" x14ac:dyDescent="0.25">
      <c r="A28" t="s">
        <v>39</v>
      </c>
      <c r="B28" t="s">
        <v>40</v>
      </c>
      <c r="C28" t="s">
        <v>31</v>
      </c>
      <c r="D28" s="2">
        <v>0.74670000000000003</v>
      </c>
      <c r="E28" s="2">
        <v>0.71030000000000004</v>
      </c>
      <c r="F28" s="2">
        <v>0.71660000000000001</v>
      </c>
      <c r="G28" s="2">
        <v>0.71330000000000005</v>
      </c>
      <c r="H28" s="2">
        <v>0.72799999999999998</v>
      </c>
      <c r="I28" s="2">
        <v>0.68020000000000003</v>
      </c>
      <c r="J28" s="2">
        <v>0.72399999999999998</v>
      </c>
      <c r="K28" s="2">
        <v>0.75849999999999995</v>
      </c>
      <c r="L28" s="2">
        <v>0.74050000000000005</v>
      </c>
      <c r="M28" s="2">
        <v>0.73929999999999996</v>
      </c>
      <c r="N28" s="2">
        <v>0.72909999999999997</v>
      </c>
      <c r="O28" s="2">
        <v>0.76190000000000002</v>
      </c>
      <c r="P28" s="2">
        <v>0.72850000000000004</v>
      </c>
      <c r="Q28" s="2">
        <v>0.70809999999999995</v>
      </c>
      <c r="R28" s="2">
        <v>0.69289999999999996</v>
      </c>
      <c r="S28" s="2">
        <v>0.6865</v>
      </c>
      <c r="T28" s="2">
        <v>0.6956</v>
      </c>
      <c r="U28" s="2">
        <v>0.72099999999999997</v>
      </c>
      <c r="V28" s="2">
        <v>0.72260000000000002</v>
      </c>
      <c r="W28" s="2">
        <v>0.72509999999999997</v>
      </c>
      <c r="X28" s="2">
        <f t="shared" si="0"/>
        <v>0.72143500000000005</v>
      </c>
      <c r="Y28" s="2">
        <f t="shared" si="4"/>
        <v>2.2123273646594558E-2</v>
      </c>
      <c r="Z28" s="2">
        <f t="shared" si="1"/>
        <v>3.0665650608293968</v>
      </c>
      <c r="AA28" s="2">
        <f t="shared" si="2"/>
        <v>0.68020000000000003</v>
      </c>
      <c r="AB28" s="2">
        <f t="shared" si="3"/>
        <v>0.76190000000000002</v>
      </c>
    </row>
    <row r="29" spans="1:28" x14ac:dyDescent="0.25">
      <c r="A29" t="s">
        <v>39</v>
      </c>
      <c r="B29" t="s">
        <v>40</v>
      </c>
      <c r="C29" t="s">
        <v>32</v>
      </c>
      <c r="D29" s="2">
        <v>4.7365000000000004</v>
      </c>
      <c r="E29" s="2">
        <v>4.6615000000000002</v>
      </c>
      <c r="F29" s="2">
        <v>4.5552999999999999</v>
      </c>
      <c r="G29" s="2">
        <v>4.3952</v>
      </c>
      <c r="H29" s="2">
        <v>4.5194999999999999</v>
      </c>
      <c r="I29" s="2">
        <v>4.8916000000000004</v>
      </c>
      <c r="J29" s="2">
        <v>4.7062999999999997</v>
      </c>
      <c r="K29" s="2">
        <v>4.5202</v>
      </c>
      <c r="L29" s="2">
        <v>4.6429999999999998</v>
      </c>
      <c r="M29" s="2">
        <v>4.6456</v>
      </c>
      <c r="N29" s="2">
        <v>4.5820999999999996</v>
      </c>
      <c r="O29" s="2">
        <v>4.4649000000000001</v>
      </c>
      <c r="P29" s="2">
        <v>4.5373999999999999</v>
      </c>
      <c r="Q29" s="2">
        <v>4.5857999999999999</v>
      </c>
      <c r="R29" s="2">
        <v>4.4752999999999998</v>
      </c>
      <c r="S29" s="2">
        <v>4.5860000000000003</v>
      </c>
      <c r="T29" s="2">
        <v>4.4649000000000001</v>
      </c>
      <c r="U29" s="2">
        <v>4.5601000000000003</v>
      </c>
      <c r="V29" s="2">
        <v>4.5784000000000002</v>
      </c>
      <c r="W29" s="2">
        <v>4.3531000000000004</v>
      </c>
      <c r="X29" s="2">
        <f t="shared" si="0"/>
        <v>4.5731350000000006</v>
      </c>
      <c r="Y29" s="2">
        <f t="shared" si="4"/>
        <v>0.12241797801836654</v>
      </c>
      <c r="Z29" s="2">
        <f t="shared" si="1"/>
        <v>2.6768940348003398</v>
      </c>
      <c r="AA29" s="2">
        <f t="shared" si="2"/>
        <v>4.3531000000000004</v>
      </c>
      <c r="AB29" s="2">
        <f t="shared" si="3"/>
        <v>4.8916000000000004</v>
      </c>
    </row>
    <row r="30" spans="1:28" x14ac:dyDescent="0.25">
      <c r="A30" t="s">
        <v>39</v>
      </c>
      <c r="B30" t="s">
        <v>40</v>
      </c>
      <c r="C30" t="s">
        <v>33</v>
      </c>
      <c r="D30" s="2">
        <v>0.90500000000000003</v>
      </c>
      <c r="E30" s="2">
        <v>0.91190000000000004</v>
      </c>
      <c r="F30" s="2">
        <v>0.9032</v>
      </c>
      <c r="G30" s="2">
        <v>0.90910000000000002</v>
      </c>
      <c r="H30" s="2">
        <v>0.90500000000000003</v>
      </c>
      <c r="I30" s="2">
        <v>0.90610000000000002</v>
      </c>
      <c r="J30" s="2">
        <v>0.90639999999999998</v>
      </c>
      <c r="K30" s="2">
        <v>0.90759999999999996</v>
      </c>
      <c r="L30" s="2">
        <v>0.90939999999999999</v>
      </c>
      <c r="M30" s="2">
        <v>0.90590000000000004</v>
      </c>
      <c r="N30" s="2">
        <v>0.90380000000000005</v>
      </c>
      <c r="O30" s="2">
        <v>0.90180000000000005</v>
      </c>
      <c r="P30" s="2">
        <v>0.90700000000000003</v>
      </c>
      <c r="Q30" s="2">
        <v>0.91020000000000001</v>
      </c>
      <c r="R30" s="2">
        <v>0.90339999999999998</v>
      </c>
      <c r="S30" s="2">
        <v>0.90400000000000003</v>
      </c>
      <c r="T30" s="2">
        <v>0.9083</v>
      </c>
      <c r="U30" s="2">
        <v>0.90539999999999998</v>
      </c>
      <c r="V30" s="2">
        <v>0.91359999999999997</v>
      </c>
      <c r="W30" s="2">
        <v>0.91269999999999996</v>
      </c>
      <c r="X30" s="2">
        <f t="shared" si="0"/>
        <v>0.90699000000000007</v>
      </c>
      <c r="Y30" s="2">
        <f t="shared" si="4"/>
        <v>3.3177195719190393E-3</v>
      </c>
      <c r="Z30" s="2">
        <f t="shared" si="1"/>
        <v>0.36579450400986108</v>
      </c>
      <c r="AA30" s="2">
        <f t="shared" si="2"/>
        <v>0.90180000000000005</v>
      </c>
      <c r="AB30" s="2">
        <f t="shared" si="3"/>
        <v>0.91359999999999997</v>
      </c>
    </row>
    <row r="31" spans="1:28" x14ac:dyDescent="0.25">
      <c r="A31" t="s">
        <v>39</v>
      </c>
      <c r="B31" t="s">
        <v>40</v>
      </c>
      <c r="C31" t="s">
        <v>34</v>
      </c>
      <c r="D31" s="2">
        <v>0.18110000000000001</v>
      </c>
      <c r="E31" s="2">
        <v>0.1739</v>
      </c>
      <c r="F31" s="2">
        <v>0.16489999999999999</v>
      </c>
      <c r="G31" s="2">
        <v>0.17810000000000001</v>
      </c>
      <c r="H31" s="2">
        <v>0.1797</v>
      </c>
      <c r="I31" s="2">
        <v>0.1782</v>
      </c>
      <c r="J31" s="2">
        <v>0.18310000000000001</v>
      </c>
      <c r="K31" s="2">
        <v>0.16209999999999999</v>
      </c>
      <c r="L31" s="2">
        <v>0.17519999999999999</v>
      </c>
      <c r="M31" s="2">
        <v>0.17169999999999999</v>
      </c>
      <c r="N31" s="2">
        <v>0.17469999999999999</v>
      </c>
      <c r="O31" s="2">
        <v>0.1666</v>
      </c>
      <c r="P31" s="2">
        <v>0.17649999999999999</v>
      </c>
      <c r="Q31" s="2">
        <v>0.1759</v>
      </c>
      <c r="R31" s="2">
        <v>0.18410000000000001</v>
      </c>
      <c r="S31" s="2">
        <v>0.18240000000000001</v>
      </c>
      <c r="T31" s="2">
        <v>0.1787</v>
      </c>
      <c r="U31" s="2">
        <v>0.1734</v>
      </c>
      <c r="V31" s="2">
        <v>0.17069999999999999</v>
      </c>
      <c r="W31" s="2">
        <v>0.17080000000000001</v>
      </c>
      <c r="X31" s="2">
        <f t="shared" si="0"/>
        <v>0.17509</v>
      </c>
      <c r="Y31" s="2">
        <f t="shared" si="4"/>
        <v>6.0210944974621082E-3</v>
      </c>
      <c r="Z31" s="2">
        <f t="shared" si="1"/>
        <v>3.438856872158381</v>
      </c>
      <c r="AA31" s="2">
        <f t="shared" si="2"/>
        <v>0.16209999999999999</v>
      </c>
      <c r="AB31" s="2">
        <f t="shared" si="3"/>
        <v>0.18410000000000001</v>
      </c>
    </row>
    <row r="32" spans="1:28" x14ac:dyDescent="0.25">
      <c r="A32" t="s">
        <v>39</v>
      </c>
      <c r="B32" t="s">
        <v>41</v>
      </c>
      <c r="C32" t="s">
        <v>30</v>
      </c>
      <c r="D32" s="2">
        <v>0.61460000000000004</v>
      </c>
      <c r="E32" s="2">
        <v>0.6472</v>
      </c>
      <c r="F32" s="2">
        <v>0.63929999999999998</v>
      </c>
      <c r="G32" s="2">
        <v>0.60880000000000001</v>
      </c>
      <c r="H32" s="2">
        <v>0.62539999999999996</v>
      </c>
      <c r="I32" s="2">
        <v>0.59889999999999999</v>
      </c>
      <c r="J32" s="2">
        <v>0.59509999999999996</v>
      </c>
      <c r="K32" s="2">
        <v>0.62690000000000001</v>
      </c>
      <c r="L32" s="2">
        <v>0.59960000000000002</v>
      </c>
      <c r="M32" s="2">
        <v>0.53939999999999999</v>
      </c>
      <c r="N32" s="2">
        <v>0.63549999999999995</v>
      </c>
      <c r="O32" s="2">
        <v>0.61819999999999997</v>
      </c>
      <c r="P32" s="2">
        <v>0.62939999999999996</v>
      </c>
      <c r="Q32" s="2">
        <v>0.58589999999999998</v>
      </c>
      <c r="R32" s="2">
        <v>0.60519999999999996</v>
      </c>
      <c r="S32" s="2">
        <v>0.61309999999999998</v>
      </c>
      <c r="T32" s="2">
        <v>0.59299999999999997</v>
      </c>
      <c r="U32" s="2">
        <v>0.59030000000000005</v>
      </c>
      <c r="V32" s="2">
        <v>0.56069999999999998</v>
      </c>
      <c r="W32" s="2">
        <v>0.61539999999999995</v>
      </c>
      <c r="X32" s="2">
        <f t="shared" si="0"/>
        <v>0.60709499999999994</v>
      </c>
      <c r="Y32" s="2">
        <f t="shared" si="4"/>
        <v>2.6057335061865319E-2</v>
      </c>
      <c r="Z32" s="2">
        <f t="shared" si="1"/>
        <v>4.2921346843352888</v>
      </c>
      <c r="AA32" s="2">
        <f t="shared" si="2"/>
        <v>0.53939999999999999</v>
      </c>
      <c r="AB32" s="2">
        <f t="shared" si="3"/>
        <v>0.6472</v>
      </c>
    </row>
    <row r="33" spans="1:28" x14ac:dyDescent="0.25">
      <c r="A33" t="s">
        <v>39</v>
      </c>
      <c r="B33" t="s">
        <v>41</v>
      </c>
      <c r="C33" t="s">
        <v>31</v>
      </c>
      <c r="D33" s="2">
        <v>0.80620000000000003</v>
      </c>
      <c r="E33" s="2">
        <v>0.79659999999999997</v>
      </c>
      <c r="F33" s="2">
        <v>0.78700000000000003</v>
      </c>
      <c r="G33" s="2">
        <v>0.8034</v>
      </c>
      <c r="H33" s="2">
        <v>0.79559999999999997</v>
      </c>
      <c r="I33" s="2">
        <v>0.78590000000000004</v>
      </c>
      <c r="J33" s="2">
        <v>0.73540000000000005</v>
      </c>
      <c r="K33" s="2">
        <v>0.78359999999999996</v>
      </c>
      <c r="L33" s="2">
        <v>0.77610000000000001</v>
      </c>
      <c r="M33" s="2">
        <v>0.76600000000000001</v>
      </c>
      <c r="N33" s="2">
        <v>0.83160000000000001</v>
      </c>
      <c r="O33" s="2">
        <v>0.85129999999999995</v>
      </c>
      <c r="P33" s="2">
        <v>0.80320000000000003</v>
      </c>
      <c r="Q33" s="2">
        <v>0.81130000000000002</v>
      </c>
      <c r="R33" s="2">
        <v>0.8014</v>
      </c>
      <c r="S33" s="2">
        <v>0.82340000000000002</v>
      </c>
      <c r="T33" s="2">
        <v>0.8276</v>
      </c>
      <c r="U33" s="2">
        <v>0.82709999999999995</v>
      </c>
      <c r="V33" s="2">
        <v>0.82609999999999995</v>
      </c>
      <c r="W33" s="2">
        <v>0.8216</v>
      </c>
      <c r="X33" s="2">
        <f t="shared" si="0"/>
        <v>0.80301999999999985</v>
      </c>
      <c r="Y33" s="2">
        <f t="shared" si="4"/>
        <v>2.6554107621589291E-2</v>
      </c>
      <c r="Z33" s="2">
        <f t="shared" si="1"/>
        <v>3.3067803568515477</v>
      </c>
      <c r="AA33" s="2">
        <f t="shared" si="2"/>
        <v>0.73540000000000005</v>
      </c>
      <c r="AB33" s="2">
        <f t="shared" si="3"/>
        <v>0.85129999999999995</v>
      </c>
    </row>
    <row r="34" spans="1:28" x14ac:dyDescent="0.25">
      <c r="A34" t="s">
        <v>39</v>
      </c>
      <c r="B34" t="s">
        <v>41</v>
      </c>
      <c r="C34" t="s">
        <v>32</v>
      </c>
      <c r="D34" s="2">
        <v>4.7317</v>
      </c>
      <c r="E34" s="2">
        <v>5.1475999999999997</v>
      </c>
      <c r="F34" s="2">
        <v>4.9184999999999999</v>
      </c>
      <c r="G34" s="2">
        <v>5.4512999999999998</v>
      </c>
      <c r="H34" s="2">
        <v>5.2057000000000002</v>
      </c>
      <c r="I34" s="2">
        <v>5.0594999999999999</v>
      </c>
      <c r="J34" s="2">
        <v>5.1778000000000004</v>
      </c>
      <c r="K34" s="2">
        <v>5.1824000000000003</v>
      </c>
      <c r="L34" s="2">
        <v>5.5926999999999998</v>
      </c>
      <c r="M34" s="2">
        <v>5.1909999999999998</v>
      </c>
      <c r="N34" s="2">
        <v>4.7842000000000002</v>
      </c>
      <c r="O34" s="2">
        <v>5.6387999999999998</v>
      </c>
      <c r="P34" s="2">
        <v>5.1889000000000003</v>
      </c>
      <c r="Q34" s="2">
        <v>4.8970000000000002</v>
      </c>
      <c r="R34" s="2">
        <v>5.3826999999999998</v>
      </c>
      <c r="S34" s="2">
        <v>5.2912999999999997</v>
      </c>
      <c r="T34" s="2">
        <v>4.6714000000000002</v>
      </c>
      <c r="U34" s="2">
        <v>5.4884000000000004</v>
      </c>
      <c r="V34" s="2">
        <v>5.1654999999999998</v>
      </c>
      <c r="W34" s="2">
        <v>4.9888000000000003</v>
      </c>
      <c r="X34" s="2">
        <f t="shared" ref="X34:X65" si="5">AVERAGE(D34:W34)</f>
        <v>5.1577600000000006</v>
      </c>
      <c r="Y34" s="2">
        <f t="shared" si="4"/>
        <v>0.27252236489583931</v>
      </c>
      <c r="Z34" s="2">
        <f t="shared" ref="Z34:Z65" si="6">IFERROR(Y34/ABS(X34)*100,"")</f>
        <v>5.2837348945247404</v>
      </c>
      <c r="AA34" s="2">
        <f t="shared" ref="AA34:AA65" si="7">MIN(D34:W34)</f>
        <v>4.6714000000000002</v>
      </c>
      <c r="AB34" s="2">
        <f t="shared" ref="AB34:AB65" si="8">MAX(D34:W34)</f>
        <v>5.6387999999999998</v>
      </c>
    </row>
    <row r="35" spans="1:28" x14ac:dyDescent="0.25">
      <c r="A35" t="s">
        <v>39</v>
      </c>
      <c r="B35" t="s">
        <v>41</v>
      </c>
      <c r="C35" t="s">
        <v>33</v>
      </c>
      <c r="D35" s="2">
        <v>0.89429999999999998</v>
      </c>
      <c r="E35" s="2">
        <v>0.90229999999999999</v>
      </c>
      <c r="F35" s="2">
        <v>0.90069999999999995</v>
      </c>
      <c r="G35" s="2">
        <v>0.89700000000000002</v>
      </c>
      <c r="H35" s="2">
        <v>0.9</v>
      </c>
      <c r="I35" s="2">
        <v>0.88590000000000002</v>
      </c>
      <c r="J35" s="2">
        <v>0.90310000000000001</v>
      </c>
      <c r="K35" s="2">
        <v>0.8992</v>
      </c>
      <c r="L35" s="2">
        <v>0.90490000000000004</v>
      </c>
      <c r="M35" s="2">
        <v>0.90400000000000003</v>
      </c>
      <c r="N35" s="2">
        <v>0.90059999999999996</v>
      </c>
      <c r="O35" s="2">
        <v>0.89090000000000003</v>
      </c>
      <c r="P35" s="2">
        <v>0.90210000000000001</v>
      </c>
      <c r="Q35" s="2">
        <v>0.89900000000000002</v>
      </c>
      <c r="R35" s="2">
        <v>0.89380000000000004</v>
      </c>
      <c r="S35" s="2">
        <v>0.89649999999999996</v>
      </c>
      <c r="T35" s="2">
        <v>0.90159999999999996</v>
      </c>
      <c r="U35" s="2">
        <v>0.90600000000000003</v>
      </c>
      <c r="V35" s="2">
        <v>0.90169999999999995</v>
      </c>
      <c r="W35" s="2">
        <v>0.89870000000000005</v>
      </c>
      <c r="X35" s="2">
        <f t="shared" si="5"/>
        <v>0.89911500000000033</v>
      </c>
      <c r="Y35" s="2">
        <f t="shared" si="4"/>
        <v>4.9368938668591551E-3</v>
      </c>
      <c r="Z35" s="2">
        <f t="shared" si="6"/>
        <v>0.54908369528471368</v>
      </c>
      <c r="AA35" s="2">
        <f t="shared" si="7"/>
        <v>0.88590000000000002</v>
      </c>
      <c r="AB35" s="2">
        <f t="shared" si="8"/>
        <v>0.90600000000000003</v>
      </c>
    </row>
    <row r="36" spans="1:28" x14ac:dyDescent="0.25">
      <c r="A36" t="s">
        <v>39</v>
      </c>
      <c r="B36" t="s">
        <v>41</v>
      </c>
      <c r="C36" t="s">
        <v>34</v>
      </c>
      <c r="D36" s="2">
        <v>0.1918</v>
      </c>
      <c r="E36" s="2">
        <v>0.18340000000000001</v>
      </c>
      <c r="F36" s="2">
        <v>0.1799</v>
      </c>
      <c r="G36" s="2">
        <v>0.1946</v>
      </c>
      <c r="H36" s="2">
        <v>0.18590000000000001</v>
      </c>
      <c r="I36" s="2">
        <v>0.18640000000000001</v>
      </c>
      <c r="J36" s="2">
        <v>0.18379999999999999</v>
      </c>
      <c r="K36" s="2">
        <v>0.19450000000000001</v>
      </c>
      <c r="L36" s="2">
        <v>0.18590000000000001</v>
      </c>
      <c r="M36" s="2">
        <v>0.1797</v>
      </c>
      <c r="N36" s="2">
        <v>0.17760000000000001</v>
      </c>
      <c r="O36" s="2">
        <v>0.1905</v>
      </c>
      <c r="P36" s="2">
        <v>0.19409999999999999</v>
      </c>
      <c r="Q36" s="2">
        <v>0.1804</v>
      </c>
      <c r="R36" s="2">
        <v>0.20030000000000001</v>
      </c>
      <c r="S36" s="2">
        <v>0.1925</v>
      </c>
      <c r="T36" s="2">
        <v>0.19309999999999999</v>
      </c>
      <c r="U36" s="2">
        <v>0.19869999999999999</v>
      </c>
      <c r="V36" s="2">
        <v>0.1865</v>
      </c>
      <c r="W36" s="2">
        <v>0.185</v>
      </c>
      <c r="X36" s="2">
        <f t="shared" si="5"/>
        <v>0.18823000000000001</v>
      </c>
      <c r="Y36" s="2">
        <f t="shared" si="4"/>
        <v>6.5556002575540007E-3</v>
      </c>
      <c r="Z36" s="2">
        <f t="shared" si="6"/>
        <v>3.4827605894671416</v>
      </c>
      <c r="AA36" s="2">
        <f t="shared" si="7"/>
        <v>0.17760000000000001</v>
      </c>
      <c r="AB36" s="2">
        <f t="shared" si="8"/>
        <v>0.20030000000000001</v>
      </c>
    </row>
    <row r="37" spans="1:28" x14ac:dyDescent="0.25">
      <c r="A37" t="s">
        <v>39</v>
      </c>
      <c r="B37" t="s">
        <v>42</v>
      </c>
      <c r="C37" t="s">
        <v>30</v>
      </c>
      <c r="D37" s="2">
        <v>0.65800000000000003</v>
      </c>
      <c r="E37" s="2">
        <v>0.67710000000000004</v>
      </c>
      <c r="F37" s="2">
        <v>0.67549999999999999</v>
      </c>
      <c r="G37" s="2">
        <v>0.67669999999999997</v>
      </c>
      <c r="H37" s="2">
        <v>0.66359999999999997</v>
      </c>
      <c r="I37" s="2">
        <v>0.72489999999999999</v>
      </c>
      <c r="J37" s="2">
        <v>0.68759999999999999</v>
      </c>
      <c r="K37" s="2">
        <v>0.66069999999999995</v>
      </c>
      <c r="L37" s="2">
        <v>0.7157</v>
      </c>
      <c r="M37" s="2">
        <v>0.75690000000000002</v>
      </c>
      <c r="N37" s="2">
        <v>0.63600000000000001</v>
      </c>
      <c r="O37" s="2">
        <v>0.72409999999999997</v>
      </c>
      <c r="P37" s="2">
        <v>0.66520000000000001</v>
      </c>
      <c r="Q37" s="2">
        <v>0.6522</v>
      </c>
      <c r="R37" s="2">
        <v>0.69010000000000005</v>
      </c>
      <c r="S37" s="2">
        <v>0.63929999999999998</v>
      </c>
      <c r="T37" s="2">
        <v>0.70740000000000003</v>
      </c>
      <c r="U37" s="2">
        <v>0.68840000000000001</v>
      </c>
      <c r="V37" s="2">
        <v>0.70479999999999998</v>
      </c>
      <c r="W37" s="2">
        <v>0.65949999999999998</v>
      </c>
      <c r="X37" s="2">
        <f t="shared" si="5"/>
        <v>0.68318500000000004</v>
      </c>
      <c r="Y37" s="2">
        <f t="shared" si="4"/>
        <v>3.1382014208611177E-2</v>
      </c>
      <c r="Z37" s="2">
        <f t="shared" si="6"/>
        <v>4.5934870069763205</v>
      </c>
      <c r="AA37" s="2">
        <f t="shared" si="7"/>
        <v>0.63600000000000001</v>
      </c>
      <c r="AB37" s="2">
        <f t="shared" si="8"/>
        <v>0.75690000000000002</v>
      </c>
    </row>
    <row r="38" spans="1:28" x14ac:dyDescent="0.25">
      <c r="A38" t="s">
        <v>39</v>
      </c>
      <c r="B38" t="s">
        <v>42</v>
      </c>
      <c r="C38" t="s">
        <v>31</v>
      </c>
      <c r="D38" s="2">
        <v>0.92900000000000005</v>
      </c>
      <c r="E38" s="2">
        <v>0.86509999999999998</v>
      </c>
      <c r="F38" s="2">
        <v>0.91659999999999997</v>
      </c>
      <c r="G38" s="2">
        <v>0.89870000000000005</v>
      </c>
      <c r="H38" s="2">
        <v>0.90059999999999996</v>
      </c>
      <c r="I38" s="2">
        <v>0.81820000000000004</v>
      </c>
      <c r="J38" s="2">
        <v>0.90269999999999995</v>
      </c>
      <c r="K38" s="2">
        <v>0.87339999999999995</v>
      </c>
      <c r="L38" s="2">
        <v>0.93</v>
      </c>
      <c r="M38" s="2">
        <v>0.86680000000000001</v>
      </c>
      <c r="N38" s="2">
        <v>0.94369999999999998</v>
      </c>
      <c r="O38" s="2">
        <v>0.90690000000000004</v>
      </c>
      <c r="P38" s="2">
        <v>0.89649999999999996</v>
      </c>
      <c r="Q38" s="2">
        <v>0.90569999999999995</v>
      </c>
      <c r="R38" s="2">
        <v>0.94810000000000005</v>
      </c>
      <c r="S38" s="2">
        <v>0.91969999999999996</v>
      </c>
      <c r="T38" s="2">
        <v>0.9143</v>
      </c>
      <c r="U38" s="2">
        <v>0.90600000000000003</v>
      </c>
      <c r="V38" s="2">
        <v>0.8982</v>
      </c>
      <c r="W38" s="2">
        <v>0.91169999999999995</v>
      </c>
      <c r="X38" s="2">
        <f t="shared" si="5"/>
        <v>0.90259500000000004</v>
      </c>
      <c r="Y38" s="2">
        <f t="shared" si="4"/>
        <v>2.9642279104790781E-2</v>
      </c>
      <c r="Z38" s="2">
        <f t="shared" si="6"/>
        <v>3.2841173621381441</v>
      </c>
      <c r="AA38" s="2">
        <f t="shared" si="7"/>
        <v>0.81820000000000004</v>
      </c>
      <c r="AB38" s="2">
        <f t="shared" si="8"/>
        <v>0.94810000000000005</v>
      </c>
    </row>
    <row r="39" spans="1:28" x14ac:dyDescent="0.25">
      <c r="A39" t="s">
        <v>39</v>
      </c>
      <c r="B39" t="s">
        <v>42</v>
      </c>
      <c r="C39" t="s">
        <v>32</v>
      </c>
      <c r="D39" s="2">
        <v>5.5091999999999999</v>
      </c>
      <c r="E39" s="2">
        <v>5.5625999999999998</v>
      </c>
      <c r="F39" s="2">
        <v>5.6463000000000001</v>
      </c>
      <c r="G39" s="2">
        <v>5.6143999999999998</v>
      </c>
      <c r="H39" s="2">
        <v>6.0830000000000002</v>
      </c>
      <c r="I39" s="2">
        <v>5.8754</v>
      </c>
      <c r="J39" s="2">
        <v>5.9728000000000003</v>
      </c>
      <c r="K39" s="2">
        <v>5.6647999999999996</v>
      </c>
      <c r="L39" s="2">
        <v>5.6481000000000003</v>
      </c>
      <c r="M39" s="2">
        <v>6.0891000000000002</v>
      </c>
      <c r="N39" s="2">
        <v>5.5442</v>
      </c>
      <c r="O39" s="2">
        <v>5.8597000000000001</v>
      </c>
      <c r="P39" s="2">
        <v>6.2423000000000002</v>
      </c>
      <c r="Q39" s="2">
        <v>5.8174000000000001</v>
      </c>
      <c r="R39" s="2">
        <v>6.0785</v>
      </c>
      <c r="S39" s="2">
        <v>6.13</v>
      </c>
      <c r="T39" s="2">
        <v>5.3722000000000003</v>
      </c>
      <c r="U39" s="2">
        <v>5.7024999999999997</v>
      </c>
      <c r="V39" s="2">
        <v>5.69</v>
      </c>
      <c r="W39" s="2">
        <v>5.7121000000000004</v>
      </c>
      <c r="X39" s="2">
        <f t="shared" si="5"/>
        <v>5.7907300000000017</v>
      </c>
      <c r="Y39" s="2">
        <f t="shared" si="4"/>
        <v>0.24078586053084383</v>
      </c>
      <c r="Z39" s="2">
        <f t="shared" si="6"/>
        <v>4.1581261866956973</v>
      </c>
      <c r="AA39" s="2">
        <f t="shared" si="7"/>
        <v>5.3722000000000003</v>
      </c>
      <c r="AB39" s="2">
        <f t="shared" si="8"/>
        <v>6.2423000000000002</v>
      </c>
    </row>
    <row r="40" spans="1:28" x14ac:dyDescent="0.25">
      <c r="A40" t="s">
        <v>39</v>
      </c>
      <c r="B40" t="s">
        <v>42</v>
      </c>
      <c r="C40" t="s">
        <v>33</v>
      </c>
      <c r="D40" s="2">
        <v>0.87849999999999995</v>
      </c>
      <c r="E40" s="2">
        <v>0.88419999999999999</v>
      </c>
      <c r="F40" s="2">
        <v>0.89</v>
      </c>
      <c r="G40" s="2">
        <v>0.88390000000000002</v>
      </c>
      <c r="H40" s="2">
        <v>0.88229999999999997</v>
      </c>
      <c r="I40" s="2">
        <v>0.89470000000000005</v>
      </c>
      <c r="J40" s="2">
        <v>0.88280000000000003</v>
      </c>
      <c r="K40" s="2">
        <v>0.8821</v>
      </c>
      <c r="L40" s="2">
        <v>0.88819999999999999</v>
      </c>
      <c r="M40" s="2">
        <v>0.88690000000000002</v>
      </c>
      <c r="N40" s="2">
        <v>0.87980000000000003</v>
      </c>
      <c r="O40" s="2">
        <v>0.87060000000000004</v>
      </c>
      <c r="P40" s="2">
        <v>0.87980000000000003</v>
      </c>
      <c r="Q40" s="2">
        <v>0.88329999999999997</v>
      </c>
      <c r="R40" s="2">
        <v>0.88300000000000001</v>
      </c>
      <c r="S40" s="2">
        <v>0.9002</v>
      </c>
      <c r="T40" s="2">
        <v>0.88560000000000005</v>
      </c>
      <c r="U40" s="2">
        <v>0.89149999999999996</v>
      </c>
      <c r="V40" s="2">
        <v>0.87729999999999997</v>
      </c>
      <c r="W40" s="2">
        <v>0.89600000000000002</v>
      </c>
      <c r="X40" s="2">
        <f t="shared" si="5"/>
        <v>0.88503500000000002</v>
      </c>
      <c r="Y40" s="2">
        <f t="shared" si="4"/>
        <v>6.9578637828756505E-3</v>
      </c>
      <c r="Z40" s="2">
        <f t="shared" si="6"/>
        <v>0.78616820610209215</v>
      </c>
      <c r="AA40" s="2">
        <f t="shared" si="7"/>
        <v>0.87060000000000004</v>
      </c>
      <c r="AB40" s="2">
        <f t="shared" si="8"/>
        <v>0.9002</v>
      </c>
    </row>
    <row r="41" spans="1:28" x14ac:dyDescent="0.25">
      <c r="A41" t="s">
        <v>39</v>
      </c>
      <c r="B41" t="s">
        <v>42</v>
      </c>
      <c r="C41" t="s">
        <v>34</v>
      </c>
      <c r="D41" s="2">
        <v>0.21729999999999999</v>
      </c>
      <c r="E41" s="2">
        <v>0.2271</v>
      </c>
      <c r="F41" s="2">
        <v>0.22559999999999999</v>
      </c>
      <c r="G41" s="2">
        <v>0.21629999999999999</v>
      </c>
      <c r="H41" s="2">
        <v>0.21609999999999999</v>
      </c>
      <c r="I41" s="2">
        <v>0.21959999999999999</v>
      </c>
      <c r="J41" s="2">
        <v>0.2233</v>
      </c>
      <c r="K41" s="2">
        <v>0.22120000000000001</v>
      </c>
      <c r="L41" s="2">
        <v>0.2195</v>
      </c>
      <c r="M41" s="2">
        <v>0.21260000000000001</v>
      </c>
      <c r="N41" s="2">
        <v>0.2311</v>
      </c>
      <c r="O41" s="2">
        <v>0.21490000000000001</v>
      </c>
      <c r="P41" s="2">
        <v>0.23200000000000001</v>
      </c>
      <c r="Q41" s="2">
        <v>0.21690000000000001</v>
      </c>
      <c r="R41" s="2">
        <v>0.216</v>
      </c>
      <c r="S41" s="2">
        <v>0.2092</v>
      </c>
      <c r="T41" s="2">
        <v>0.22090000000000001</v>
      </c>
      <c r="U41" s="2">
        <v>0.2261</v>
      </c>
      <c r="V41" s="2">
        <v>0.2243</v>
      </c>
      <c r="W41" s="2">
        <v>0.2092</v>
      </c>
      <c r="X41" s="2">
        <f t="shared" si="5"/>
        <v>0.21996000000000007</v>
      </c>
      <c r="Y41" s="2">
        <f t="shared" si="4"/>
        <v>6.464673232267815E-3</v>
      </c>
      <c r="Z41" s="2">
        <f t="shared" si="6"/>
        <v>2.9390222005218281</v>
      </c>
      <c r="AA41" s="2">
        <f t="shared" si="7"/>
        <v>0.2092</v>
      </c>
      <c r="AB41" s="2">
        <f t="shared" si="8"/>
        <v>0.23200000000000001</v>
      </c>
    </row>
    <row r="42" spans="1:28" x14ac:dyDescent="0.25">
      <c r="A42" t="s">
        <v>39</v>
      </c>
      <c r="B42" t="s">
        <v>43</v>
      </c>
      <c r="C42" t="s">
        <v>30</v>
      </c>
      <c r="D42" s="2">
        <v>0.70469999999999999</v>
      </c>
      <c r="E42" s="2">
        <v>0.73229999999999995</v>
      </c>
      <c r="F42" s="2">
        <v>0.77290000000000003</v>
      </c>
      <c r="G42" s="2">
        <v>0.74719999999999998</v>
      </c>
      <c r="H42" s="2">
        <v>0.73089999999999999</v>
      </c>
      <c r="I42" s="2">
        <v>0.73209999999999997</v>
      </c>
      <c r="J42" s="2">
        <v>0.75429999999999997</v>
      </c>
      <c r="K42" s="2">
        <v>0.71130000000000004</v>
      </c>
      <c r="L42" s="2">
        <v>0.73399999999999999</v>
      </c>
      <c r="M42" s="2">
        <v>0.73160000000000003</v>
      </c>
      <c r="N42" s="2">
        <v>0.72589999999999999</v>
      </c>
      <c r="O42" s="2">
        <v>0.72250000000000003</v>
      </c>
      <c r="P42" s="2">
        <v>0.76719999999999999</v>
      </c>
      <c r="Q42" s="2">
        <v>0.73909999999999998</v>
      </c>
      <c r="R42" s="2">
        <v>0.74050000000000005</v>
      </c>
      <c r="S42" s="2">
        <v>0.74550000000000005</v>
      </c>
      <c r="T42" s="2">
        <v>0.71130000000000004</v>
      </c>
      <c r="U42" s="2">
        <v>0.75160000000000005</v>
      </c>
      <c r="V42" s="2">
        <v>0.73440000000000005</v>
      </c>
      <c r="W42" s="2">
        <v>0.72929999999999995</v>
      </c>
      <c r="X42" s="2">
        <f t="shared" si="5"/>
        <v>0.73593000000000008</v>
      </c>
      <c r="Y42" s="2">
        <f t="shared" si="4"/>
        <v>1.7424426291242627E-2</v>
      </c>
      <c r="Z42" s="2">
        <f t="shared" si="6"/>
        <v>2.3676744107785557</v>
      </c>
      <c r="AA42" s="2">
        <f t="shared" si="7"/>
        <v>0.70469999999999999</v>
      </c>
      <c r="AB42" s="2">
        <f t="shared" si="8"/>
        <v>0.77290000000000003</v>
      </c>
    </row>
    <row r="43" spans="1:28" x14ac:dyDescent="0.25">
      <c r="A43" t="s">
        <v>39</v>
      </c>
      <c r="B43" t="s">
        <v>43</v>
      </c>
      <c r="C43" t="s">
        <v>31</v>
      </c>
      <c r="D43" s="2">
        <v>0.99270000000000003</v>
      </c>
      <c r="E43" s="2">
        <v>0.98340000000000005</v>
      </c>
      <c r="F43" s="2">
        <v>0.98419999999999996</v>
      </c>
      <c r="G43" s="2">
        <v>1.0516000000000001</v>
      </c>
      <c r="H43" s="2">
        <v>1.0174000000000001</v>
      </c>
      <c r="I43" s="2">
        <v>0.99729999999999996</v>
      </c>
      <c r="J43" s="2">
        <v>0.96240000000000003</v>
      </c>
      <c r="K43" s="2">
        <v>1.0122</v>
      </c>
      <c r="L43" s="2">
        <v>0.88639999999999997</v>
      </c>
      <c r="M43" s="2">
        <v>0.92279999999999995</v>
      </c>
      <c r="N43" s="2">
        <v>0.9052</v>
      </c>
      <c r="O43" s="2">
        <v>0.97230000000000005</v>
      </c>
      <c r="P43" s="2">
        <v>0.96489999999999998</v>
      </c>
      <c r="Q43" s="2">
        <v>1.0019</v>
      </c>
      <c r="R43" s="2">
        <v>0.98809999999999998</v>
      </c>
      <c r="S43" s="2">
        <v>0.98670000000000002</v>
      </c>
      <c r="T43" s="2">
        <v>1.0041</v>
      </c>
      <c r="U43" s="2">
        <v>0.9516</v>
      </c>
      <c r="V43" s="2">
        <v>1.0098</v>
      </c>
      <c r="W43" s="2">
        <v>0.95660000000000001</v>
      </c>
      <c r="X43" s="2">
        <f t="shared" si="5"/>
        <v>0.97758</v>
      </c>
      <c r="Y43" s="2">
        <f t="shared" si="4"/>
        <v>3.9452030832925533E-2</v>
      </c>
      <c r="Z43" s="2">
        <f t="shared" si="6"/>
        <v>4.0356830983577332</v>
      </c>
      <c r="AA43" s="2">
        <f t="shared" si="7"/>
        <v>0.88639999999999997</v>
      </c>
      <c r="AB43" s="2">
        <f t="shared" si="8"/>
        <v>1.0516000000000001</v>
      </c>
    </row>
    <row r="44" spans="1:28" x14ac:dyDescent="0.25">
      <c r="A44" t="s">
        <v>39</v>
      </c>
      <c r="B44" t="s">
        <v>43</v>
      </c>
      <c r="C44" t="s">
        <v>32</v>
      </c>
      <c r="D44" s="2">
        <v>6.0395000000000003</v>
      </c>
      <c r="E44" s="2">
        <v>6.1275000000000004</v>
      </c>
      <c r="F44" s="2">
        <v>6.2744999999999997</v>
      </c>
      <c r="G44" s="2">
        <v>6.1711999999999998</v>
      </c>
      <c r="H44" s="2">
        <v>6.1454000000000004</v>
      </c>
      <c r="I44" s="2">
        <v>6.3964999999999996</v>
      </c>
      <c r="J44" s="2">
        <v>6.2521000000000004</v>
      </c>
      <c r="K44" s="2">
        <v>6.1982999999999997</v>
      </c>
      <c r="L44" s="2">
        <v>6.5214999999999996</v>
      </c>
      <c r="M44" s="2">
        <v>5.8585000000000003</v>
      </c>
      <c r="N44" s="2">
        <v>6.5137999999999998</v>
      </c>
      <c r="O44" s="2">
        <v>6.0034000000000001</v>
      </c>
      <c r="P44" s="2">
        <v>6.2706999999999997</v>
      </c>
      <c r="Q44" s="2">
        <v>6.1487999999999996</v>
      </c>
      <c r="R44" s="2">
        <v>5.9794999999999998</v>
      </c>
      <c r="S44" s="2">
        <v>6.3887999999999998</v>
      </c>
      <c r="T44" s="2">
        <v>6.2666000000000004</v>
      </c>
      <c r="U44" s="2">
        <v>6.1586999999999996</v>
      </c>
      <c r="V44" s="2">
        <v>6.3418999999999999</v>
      </c>
      <c r="W44" s="2">
        <v>6.0951000000000004</v>
      </c>
      <c r="X44" s="2">
        <f t="shared" si="5"/>
        <v>6.2076149999999997</v>
      </c>
      <c r="Y44" s="2">
        <f t="shared" si="4"/>
        <v>0.17272127310846941</v>
      </c>
      <c r="Z44" s="2">
        <f t="shared" si="6"/>
        <v>2.7824095583967341</v>
      </c>
      <c r="AA44" s="2">
        <f t="shared" si="7"/>
        <v>5.8585000000000003</v>
      </c>
      <c r="AB44" s="2">
        <f t="shared" si="8"/>
        <v>6.5214999999999996</v>
      </c>
    </row>
    <row r="45" spans="1:28" x14ac:dyDescent="0.25">
      <c r="A45" t="s">
        <v>39</v>
      </c>
      <c r="B45" t="s">
        <v>43</v>
      </c>
      <c r="C45" t="s">
        <v>33</v>
      </c>
      <c r="D45" s="2">
        <v>0.86450000000000005</v>
      </c>
      <c r="E45" s="2">
        <v>0.87570000000000003</v>
      </c>
      <c r="F45" s="2">
        <v>0.86839999999999995</v>
      </c>
      <c r="G45" s="2">
        <v>0.87929999999999997</v>
      </c>
      <c r="H45" s="2">
        <v>0.89080000000000004</v>
      </c>
      <c r="I45" s="2">
        <v>0.88480000000000003</v>
      </c>
      <c r="J45" s="2">
        <v>0.87709999999999999</v>
      </c>
      <c r="K45" s="2">
        <v>0.87270000000000003</v>
      </c>
      <c r="L45" s="2">
        <v>0.88519999999999999</v>
      </c>
      <c r="M45" s="2">
        <v>0.87670000000000003</v>
      </c>
      <c r="N45" s="2">
        <v>0.87109999999999999</v>
      </c>
      <c r="O45" s="2">
        <v>0.87160000000000004</v>
      </c>
      <c r="P45" s="2">
        <v>0.87939999999999996</v>
      </c>
      <c r="Q45" s="2">
        <v>0.87780000000000002</v>
      </c>
      <c r="R45" s="2">
        <v>0.86870000000000003</v>
      </c>
      <c r="S45" s="2">
        <v>0.875</v>
      </c>
      <c r="T45" s="2">
        <v>0.88219999999999998</v>
      </c>
      <c r="U45" s="2">
        <v>0.87729999999999997</v>
      </c>
      <c r="V45" s="2">
        <v>0.87090000000000001</v>
      </c>
      <c r="W45" s="2">
        <v>0.87</v>
      </c>
      <c r="X45" s="2">
        <f t="shared" si="5"/>
        <v>0.87596000000000029</v>
      </c>
      <c r="Y45" s="2">
        <f t="shared" si="4"/>
        <v>6.5263353140624742E-3</v>
      </c>
      <c r="Z45" s="2">
        <f t="shared" si="6"/>
        <v>0.74504946733440713</v>
      </c>
      <c r="AA45" s="2">
        <f t="shared" si="7"/>
        <v>0.86450000000000005</v>
      </c>
      <c r="AB45" s="2">
        <f t="shared" si="8"/>
        <v>0.89080000000000004</v>
      </c>
    </row>
    <row r="46" spans="1:28" x14ac:dyDescent="0.25">
      <c r="A46" t="s">
        <v>39</v>
      </c>
      <c r="B46" t="s">
        <v>43</v>
      </c>
      <c r="C46" t="s">
        <v>34</v>
      </c>
      <c r="D46" s="2">
        <v>0.25719999999999998</v>
      </c>
      <c r="E46" s="2">
        <v>0.23369999999999999</v>
      </c>
      <c r="F46" s="2">
        <v>0.23719999999999999</v>
      </c>
      <c r="G46" s="2">
        <v>0.23769999999999999</v>
      </c>
      <c r="H46" s="2">
        <v>0.2394</v>
      </c>
      <c r="I46" s="2">
        <v>0.2392</v>
      </c>
      <c r="J46" s="2">
        <v>0.26129999999999998</v>
      </c>
      <c r="K46" s="2">
        <v>0.22359999999999999</v>
      </c>
      <c r="L46" s="2">
        <v>0.2432</v>
      </c>
      <c r="M46" s="2">
        <v>0.24</v>
      </c>
      <c r="N46" s="2">
        <v>0.24379999999999999</v>
      </c>
      <c r="O46" s="2">
        <v>0.23150000000000001</v>
      </c>
      <c r="P46" s="2">
        <v>0.26600000000000001</v>
      </c>
      <c r="Q46" s="2">
        <v>0.2399</v>
      </c>
      <c r="R46" s="2">
        <v>0.2261</v>
      </c>
      <c r="S46" s="2">
        <v>0.23280000000000001</v>
      </c>
      <c r="T46" s="2">
        <v>0.23119999999999999</v>
      </c>
      <c r="U46" s="2">
        <v>0.245</v>
      </c>
      <c r="V46" s="2">
        <v>0.21529999999999999</v>
      </c>
      <c r="W46" s="2">
        <v>0.24229999999999999</v>
      </c>
      <c r="X46" s="2">
        <f t="shared" si="5"/>
        <v>0.23932000000000006</v>
      </c>
      <c r="Y46" s="2">
        <f t="shared" si="4"/>
        <v>1.2137094076902383E-2</v>
      </c>
      <c r="Z46" s="2">
        <f t="shared" si="6"/>
        <v>5.0714917586922859</v>
      </c>
      <c r="AA46" s="2">
        <f t="shared" si="7"/>
        <v>0.21529999999999999</v>
      </c>
      <c r="AB46" s="2">
        <f t="shared" si="8"/>
        <v>0.26600000000000001</v>
      </c>
    </row>
    <row r="47" spans="1:28" x14ac:dyDescent="0.25">
      <c r="A47" t="s">
        <v>39</v>
      </c>
      <c r="B47" t="s">
        <v>44</v>
      </c>
      <c r="C47" t="s">
        <v>30</v>
      </c>
      <c r="D47" s="2">
        <v>0.82769999999999999</v>
      </c>
      <c r="E47" s="2">
        <v>0.80469999999999997</v>
      </c>
      <c r="F47" s="2">
        <v>0.80840000000000001</v>
      </c>
      <c r="G47" s="2">
        <v>0.78669999999999995</v>
      </c>
      <c r="H47" s="2">
        <v>0.79430000000000001</v>
      </c>
      <c r="I47" s="2">
        <v>0.80720000000000003</v>
      </c>
      <c r="J47" s="2">
        <v>0.80189999999999995</v>
      </c>
      <c r="K47" s="2">
        <v>0.81799999999999995</v>
      </c>
      <c r="L47" s="2">
        <v>0.78339999999999999</v>
      </c>
      <c r="M47" s="2">
        <v>0.80759999999999998</v>
      </c>
      <c r="N47" s="2">
        <v>0.81599999999999995</v>
      </c>
      <c r="O47" s="2">
        <v>0.84109999999999996</v>
      </c>
      <c r="P47" s="2">
        <v>0.80359999999999998</v>
      </c>
      <c r="Q47" s="2">
        <v>0.81569999999999998</v>
      </c>
      <c r="R47" s="2">
        <v>0.81369999999999998</v>
      </c>
      <c r="S47" s="2">
        <v>0.78900000000000003</v>
      </c>
      <c r="T47" s="2">
        <v>0.83209999999999995</v>
      </c>
      <c r="U47" s="2">
        <v>0.79359999999999997</v>
      </c>
      <c r="V47" s="2">
        <v>0.82040000000000002</v>
      </c>
      <c r="W47" s="2">
        <v>0.82</v>
      </c>
      <c r="X47" s="2">
        <f t="shared" si="5"/>
        <v>0.80925499999999995</v>
      </c>
      <c r="Y47" s="2">
        <f t="shared" si="4"/>
        <v>1.5338066679789993E-2</v>
      </c>
      <c r="Z47" s="2">
        <f t="shared" si="6"/>
        <v>1.8953317161821668</v>
      </c>
      <c r="AA47" s="2">
        <f t="shared" si="7"/>
        <v>0.78339999999999999</v>
      </c>
      <c r="AB47" s="2">
        <f t="shared" si="8"/>
        <v>0.84109999999999996</v>
      </c>
    </row>
    <row r="48" spans="1:28" x14ac:dyDescent="0.25">
      <c r="A48" t="s">
        <v>39</v>
      </c>
      <c r="B48" t="s">
        <v>44</v>
      </c>
      <c r="C48" t="s">
        <v>31</v>
      </c>
      <c r="D48" s="2">
        <v>0.99099999999999999</v>
      </c>
      <c r="E48" s="2">
        <v>1.0599000000000001</v>
      </c>
      <c r="F48" s="2">
        <v>1.0753999999999999</v>
      </c>
      <c r="G48" s="2">
        <v>1.1212</v>
      </c>
      <c r="H48" s="2">
        <v>1.0983000000000001</v>
      </c>
      <c r="I48" s="2">
        <v>0.98519999999999996</v>
      </c>
      <c r="J48" s="2">
        <v>1.0069999999999999</v>
      </c>
      <c r="K48" s="2">
        <v>1.1039000000000001</v>
      </c>
      <c r="L48" s="2">
        <v>1.1378999999999999</v>
      </c>
      <c r="M48" s="2">
        <v>1.1366000000000001</v>
      </c>
      <c r="N48" s="2">
        <v>1.0766</v>
      </c>
      <c r="O48" s="2">
        <v>1.1085</v>
      </c>
      <c r="P48" s="2">
        <v>1.0496000000000001</v>
      </c>
      <c r="Q48" s="2">
        <v>1.0022</v>
      </c>
      <c r="R48" s="2">
        <v>1.1452</v>
      </c>
      <c r="S48" s="2">
        <v>1.0926</v>
      </c>
      <c r="T48" s="2">
        <v>1.0661</v>
      </c>
      <c r="U48" s="2">
        <v>1.1166</v>
      </c>
      <c r="V48" s="2">
        <v>1.0333000000000001</v>
      </c>
      <c r="W48" s="2">
        <v>1.0971</v>
      </c>
      <c r="X48" s="2">
        <f t="shared" si="5"/>
        <v>1.0752099999999998</v>
      </c>
      <c r="Y48" s="2">
        <f t="shared" si="4"/>
        <v>5.0041834078046514E-2</v>
      </c>
      <c r="Z48" s="2">
        <f t="shared" si="6"/>
        <v>4.6541451509980858</v>
      </c>
      <c r="AA48" s="2">
        <f t="shared" si="7"/>
        <v>0.98519999999999996</v>
      </c>
      <c r="AB48" s="2">
        <f t="shared" si="8"/>
        <v>1.1452</v>
      </c>
    </row>
    <row r="49" spans="1:28" x14ac:dyDescent="0.25">
      <c r="A49" t="s">
        <v>39</v>
      </c>
      <c r="B49" t="s">
        <v>44</v>
      </c>
      <c r="C49" t="s">
        <v>32</v>
      </c>
      <c r="D49" s="2">
        <v>7.1927000000000003</v>
      </c>
      <c r="E49" s="2">
        <v>6.8421000000000003</v>
      </c>
      <c r="F49" s="2">
        <v>6.7134</v>
      </c>
      <c r="G49" s="2">
        <v>6.5816999999999997</v>
      </c>
      <c r="H49" s="2">
        <v>6.5481999999999996</v>
      </c>
      <c r="I49" s="2">
        <v>6.7172999999999998</v>
      </c>
      <c r="J49" s="2">
        <v>6.8975</v>
      </c>
      <c r="K49" s="2">
        <v>6.8133999999999997</v>
      </c>
      <c r="L49" s="2">
        <v>6.9793000000000003</v>
      </c>
      <c r="M49" s="2">
        <v>6.7058999999999997</v>
      </c>
      <c r="N49" s="2">
        <v>6.9071999999999996</v>
      </c>
      <c r="O49" s="2">
        <v>6.7866999999999997</v>
      </c>
      <c r="P49" s="2">
        <v>7.0490000000000004</v>
      </c>
      <c r="Q49" s="2">
        <v>7.2445000000000004</v>
      </c>
      <c r="R49" s="2">
        <v>6.8529</v>
      </c>
      <c r="S49" s="2">
        <v>6.4881000000000002</v>
      </c>
      <c r="T49" s="2">
        <v>6.4859999999999998</v>
      </c>
      <c r="U49" s="2">
        <v>7.1532</v>
      </c>
      <c r="V49" s="2">
        <v>6.8987999999999996</v>
      </c>
      <c r="W49" s="2">
        <v>6.6890999999999998</v>
      </c>
      <c r="X49" s="2">
        <f t="shared" si="5"/>
        <v>6.8273500000000009</v>
      </c>
      <c r="Y49" s="2">
        <f t="shared" si="4"/>
        <v>0.22169773519247724</v>
      </c>
      <c r="Z49" s="2">
        <f t="shared" si="6"/>
        <v>3.2472003807110696</v>
      </c>
      <c r="AA49" s="2">
        <f t="shared" si="7"/>
        <v>6.4859999999999998</v>
      </c>
      <c r="AB49" s="2">
        <f t="shared" si="8"/>
        <v>7.2445000000000004</v>
      </c>
    </row>
    <row r="50" spans="1:28" x14ac:dyDescent="0.25">
      <c r="A50" t="s">
        <v>39</v>
      </c>
      <c r="B50" t="s">
        <v>44</v>
      </c>
      <c r="C50" t="s">
        <v>33</v>
      </c>
      <c r="D50" s="2">
        <v>0.86319999999999997</v>
      </c>
      <c r="E50" s="2">
        <v>0.86539999999999995</v>
      </c>
      <c r="F50" s="2">
        <v>0.87</v>
      </c>
      <c r="G50" s="2">
        <v>0.85440000000000005</v>
      </c>
      <c r="H50" s="2">
        <v>0.85619999999999996</v>
      </c>
      <c r="I50" s="2">
        <v>0.85399999999999998</v>
      </c>
      <c r="J50" s="2">
        <v>0.87129999999999996</v>
      </c>
      <c r="K50" s="2">
        <v>0.84379999999999999</v>
      </c>
      <c r="L50" s="2">
        <v>0.86519999999999997</v>
      </c>
      <c r="M50" s="2">
        <v>0.85609999999999997</v>
      </c>
      <c r="N50" s="2">
        <v>0.86799999999999999</v>
      </c>
      <c r="O50" s="2">
        <v>0.86819999999999997</v>
      </c>
      <c r="P50" s="2">
        <v>0.88160000000000005</v>
      </c>
      <c r="Q50" s="2">
        <v>0.85719999999999996</v>
      </c>
      <c r="R50" s="2">
        <v>0.86319999999999997</v>
      </c>
      <c r="S50" s="2">
        <v>0.85760000000000003</v>
      </c>
      <c r="T50" s="2">
        <v>0.88190000000000002</v>
      </c>
      <c r="U50" s="2">
        <v>0.871</v>
      </c>
      <c r="V50" s="2">
        <v>0.85640000000000005</v>
      </c>
      <c r="W50" s="2">
        <v>0.8609</v>
      </c>
      <c r="X50" s="2">
        <f t="shared" si="5"/>
        <v>0.86327999999999994</v>
      </c>
      <c r="Y50" s="2">
        <f t="shared" si="4"/>
        <v>9.3876514634918182E-3</v>
      </c>
      <c r="Z50" s="2">
        <f t="shared" si="6"/>
        <v>1.0874399341455632</v>
      </c>
      <c r="AA50" s="2">
        <f t="shared" si="7"/>
        <v>0.84379999999999999</v>
      </c>
      <c r="AB50" s="2">
        <f t="shared" si="8"/>
        <v>0.88190000000000002</v>
      </c>
    </row>
    <row r="51" spans="1:28" x14ac:dyDescent="0.25">
      <c r="A51" t="s">
        <v>39</v>
      </c>
      <c r="B51" t="s">
        <v>44</v>
      </c>
      <c r="C51" t="s">
        <v>34</v>
      </c>
      <c r="D51" s="2">
        <v>0.25869999999999999</v>
      </c>
      <c r="E51" s="2">
        <v>0.2555</v>
      </c>
      <c r="F51" s="2">
        <v>0.23380000000000001</v>
      </c>
      <c r="G51" s="2">
        <v>0.2702</v>
      </c>
      <c r="H51" s="2">
        <v>0.29089999999999999</v>
      </c>
      <c r="I51" s="2">
        <v>0.27650000000000002</v>
      </c>
      <c r="J51" s="2">
        <v>0.23910000000000001</v>
      </c>
      <c r="K51" s="2">
        <v>0.26179999999999998</v>
      </c>
      <c r="L51" s="2">
        <v>0.29199999999999998</v>
      </c>
      <c r="M51" s="2">
        <v>0.25940000000000002</v>
      </c>
      <c r="N51" s="2">
        <v>0.2487</v>
      </c>
      <c r="O51" s="2">
        <v>0.27929999999999999</v>
      </c>
      <c r="P51" s="2">
        <v>0.2903</v>
      </c>
      <c r="Q51" s="2">
        <v>0.23960000000000001</v>
      </c>
      <c r="R51" s="2">
        <v>0.26469999999999999</v>
      </c>
      <c r="S51" s="2">
        <v>0.28489999999999999</v>
      </c>
      <c r="T51" s="2">
        <v>0.27789999999999998</v>
      </c>
      <c r="U51" s="2">
        <v>0.26279999999999998</v>
      </c>
      <c r="V51" s="2">
        <v>0.27060000000000001</v>
      </c>
      <c r="W51" s="2">
        <v>0.27110000000000001</v>
      </c>
      <c r="X51" s="2">
        <f t="shared" si="5"/>
        <v>0.26639000000000002</v>
      </c>
      <c r="Y51" s="2">
        <f t="shared" si="4"/>
        <v>1.7362388266473867E-2</v>
      </c>
      <c r="Z51" s="2">
        <f t="shared" si="6"/>
        <v>6.5176576697600757</v>
      </c>
      <c r="AA51" s="2">
        <f t="shared" si="7"/>
        <v>0.23380000000000001</v>
      </c>
      <c r="AB51" s="2">
        <f t="shared" si="8"/>
        <v>0.29199999999999998</v>
      </c>
    </row>
    <row r="52" spans="1:28" x14ac:dyDescent="0.25">
      <c r="A52" t="s">
        <v>45</v>
      </c>
      <c r="B52" t="s">
        <v>46</v>
      </c>
      <c r="C52" t="s">
        <v>30</v>
      </c>
      <c r="D52" s="2">
        <v>0.55810000000000004</v>
      </c>
      <c r="E52" s="2">
        <v>0.57589999999999997</v>
      </c>
      <c r="F52" s="2">
        <v>0.50890000000000002</v>
      </c>
      <c r="G52" s="2">
        <v>0.56499999999999995</v>
      </c>
      <c r="H52" s="2">
        <v>0.53249999999999997</v>
      </c>
      <c r="I52" s="2">
        <v>0.54039999999999999</v>
      </c>
      <c r="J52" s="2">
        <v>0.53600000000000003</v>
      </c>
      <c r="K52" s="2">
        <v>0.56310000000000004</v>
      </c>
      <c r="L52" s="2">
        <v>0.57940000000000003</v>
      </c>
      <c r="M52" s="2">
        <v>0.54269999999999996</v>
      </c>
      <c r="N52" s="2">
        <v>0.5645</v>
      </c>
      <c r="O52" s="2">
        <v>0.54020000000000001</v>
      </c>
      <c r="P52" s="2">
        <v>0.53239999999999998</v>
      </c>
      <c r="Q52" s="2">
        <v>0.52580000000000005</v>
      </c>
      <c r="R52" s="2">
        <v>0.5595</v>
      </c>
      <c r="S52" s="2">
        <v>0.53759999999999997</v>
      </c>
      <c r="T52" s="2">
        <v>0.55320000000000003</v>
      </c>
      <c r="U52" s="2">
        <v>0.55030000000000001</v>
      </c>
      <c r="V52" s="2">
        <v>0.58499999999999996</v>
      </c>
      <c r="W52" s="2">
        <v>0.5675</v>
      </c>
      <c r="X52" s="2">
        <f t="shared" si="5"/>
        <v>0.55090000000000017</v>
      </c>
      <c r="Y52" s="2">
        <f t="shared" si="4"/>
        <v>1.9608510504638695E-2</v>
      </c>
      <c r="Z52" s="2">
        <f t="shared" si="6"/>
        <v>3.5593593219529298</v>
      </c>
      <c r="AA52" s="2">
        <f t="shared" si="7"/>
        <v>0.50890000000000002</v>
      </c>
      <c r="AB52" s="2">
        <f t="shared" si="8"/>
        <v>0.58499999999999996</v>
      </c>
    </row>
    <row r="53" spans="1:28" x14ac:dyDescent="0.25">
      <c r="A53" t="s">
        <v>45</v>
      </c>
      <c r="B53" t="s">
        <v>46</v>
      </c>
      <c r="C53" t="s">
        <v>31</v>
      </c>
      <c r="D53" s="2">
        <v>0.7198</v>
      </c>
      <c r="E53" s="2">
        <v>0.73029999999999995</v>
      </c>
      <c r="F53" s="2">
        <v>0.71609999999999996</v>
      </c>
      <c r="G53" s="2">
        <v>0.71509999999999996</v>
      </c>
      <c r="H53" s="2">
        <v>0.72440000000000004</v>
      </c>
      <c r="I53" s="2">
        <v>0.72289999999999999</v>
      </c>
      <c r="J53" s="2">
        <v>0.70889999999999997</v>
      </c>
      <c r="K53" s="2">
        <v>0.74219999999999997</v>
      </c>
      <c r="L53" s="2">
        <v>0.72150000000000003</v>
      </c>
      <c r="M53" s="2">
        <v>0.747</v>
      </c>
      <c r="N53" s="2">
        <v>0.75090000000000001</v>
      </c>
      <c r="O53" s="2">
        <v>0.7319</v>
      </c>
      <c r="P53" s="2">
        <v>0.68940000000000001</v>
      </c>
      <c r="Q53" s="2">
        <v>0.73309999999999997</v>
      </c>
      <c r="R53" s="2">
        <v>0.72529999999999994</v>
      </c>
      <c r="S53" s="2">
        <v>0.74039999999999995</v>
      </c>
      <c r="T53" s="2">
        <v>0.77100000000000002</v>
      </c>
      <c r="U53" s="2">
        <v>0.75560000000000005</v>
      </c>
      <c r="V53" s="2">
        <v>0.70320000000000005</v>
      </c>
      <c r="W53" s="2">
        <v>0.71760000000000002</v>
      </c>
      <c r="X53" s="2">
        <f t="shared" si="5"/>
        <v>0.72833000000000003</v>
      </c>
      <c r="Y53" s="2">
        <f t="shared" si="4"/>
        <v>1.9108612001701723E-2</v>
      </c>
      <c r="Z53" s="2">
        <f t="shared" si="6"/>
        <v>2.6236200625680284</v>
      </c>
      <c r="AA53" s="2">
        <f t="shared" si="7"/>
        <v>0.68940000000000001</v>
      </c>
      <c r="AB53" s="2">
        <f t="shared" si="8"/>
        <v>0.77100000000000002</v>
      </c>
    </row>
    <row r="54" spans="1:28" x14ac:dyDescent="0.25">
      <c r="A54" t="s">
        <v>45</v>
      </c>
      <c r="B54" t="s">
        <v>46</v>
      </c>
      <c r="C54" t="s">
        <v>32</v>
      </c>
      <c r="D54" s="2">
        <v>4.5949999999999998</v>
      </c>
      <c r="E54" s="2">
        <v>4.6898</v>
      </c>
      <c r="F54" s="2">
        <v>4.7049000000000003</v>
      </c>
      <c r="G54" s="2">
        <v>4.7279999999999998</v>
      </c>
      <c r="H54" s="2">
        <v>4.7832999999999997</v>
      </c>
      <c r="I54" s="2">
        <v>4.6369999999999996</v>
      </c>
      <c r="J54" s="2">
        <v>4.4863</v>
      </c>
      <c r="K54" s="2">
        <v>4.6520000000000001</v>
      </c>
      <c r="L54" s="2">
        <v>4.4825999999999997</v>
      </c>
      <c r="M54" s="2">
        <v>4.5282</v>
      </c>
      <c r="N54" s="2">
        <v>4.8358999999999996</v>
      </c>
      <c r="O54" s="2">
        <v>4.9337</v>
      </c>
      <c r="P54" s="2">
        <v>4.6086999999999998</v>
      </c>
      <c r="Q54" s="2">
        <v>4.7305999999999999</v>
      </c>
      <c r="R54" s="2">
        <v>5.1105</v>
      </c>
      <c r="S54" s="2">
        <v>4.2656999999999998</v>
      </c>
      <c r="T54" s="2">
        <v>4.6981000000000002</v>
      </c>
      <c r="U54" s="2">
        <v>4.8452999999999999</v>
      </c>
      <c r="V54" s="2">
        <v>4.5589000000000004</v>
      </c>
      <c r="W54" s="2">
        <v>4.3925000000000001</v>
      </c>
      <c r="X54" s="2">
        <f t="shared" si="5"/>
        <v>4.6633499999999994</v>
      </c>
      <c r="Y54" s="2">
        <f t="shared" si="4"/>
        <v>0.19136554026260841</v>
      </c>
      <c r="Z54" s="2">
        <f t="shared" si="6"/>
        <v>4.1036066403467135</v>
      </c>
      <c r="AA54" s="2">
        <f t="shared" si="7"/>
        <v>4.2656999999999998</v>
      </c>
      <c r="AB54" s="2">
        <f t="shared" si="8"/>
        <v>5.1105</v>
      </c>
    </row>
    <row r="55" spans="1:28" x14ac:dyDescent="0.25">
      <c r="A55" t="s">
        <v>45</v>
      </c>
      <c r="B55" t="s">
        <v>46</v>
      </c>
      <c r="C55" t="s">
        <v>33</v>
      </c>
      <c r="D55" s="2">
        <v>0.91090000000000004</v>
      </c>
      <c r="E55" s="2">
        <v>0.90439999999999998</v>
      </c>
      <c r="F55" s="2">
        <v>0.9073</v>
      </c>
      <c r="G55" s="2">
        <v>0.90720000000000001</v>
      </c>
      <c r="H55" s="2">
        <v>0.90500000000000003</v>
      </c>
      <c r="I55" s="2">
        <v>0.90600000000000003</v>
      </c>
      <c r="J55" s="2">
        <v>0.91010000000000002</v>
      </c>
      <c r="K55" s="2">
        <v>0.90310000000000001</v>
      </c>
      <c r="L55" s="2">
        <v>0.91049999999999998</v>
      </c>
      <c r="M55" s="2">
        <v>0.90029999999999999</v>
      </c>
      <c r="N55" s="2">
        <v>0.90880000000000005</v>
      </c>
      <c r="O55" s="2">
        <v>0.90680000000000005</v>
      </c>
      <c r="P55" s="2">
        <v>0.90569999999999995</v>
      </c>
      <c r="Q55" s="2">
        <v>0.90910000000000002</v>
      </c>
      <c r="R55" s="2">
        <v>0.91080000000000005</v>
      </c>
      <c r="S55" s="2">
        <v>0.90600000000000003</v>
      </c>
      <c r="T55" s="2">
        <v>0.90769999999999995</v>
      </c>
      <c r="U55" s="2">
        <v>0.90329999999999999</v>
      </c>
      <c r="V55" s="2">
        <v>0.90610000000000002</v>
      </c>
      <c r="W55" s="2">
        <v>0.90939999999999999</v>
      </c>
      <c r="X55" s="2">
        <f t="shared" si="5"/>
        <v>0.90692499999999998</v>
      </c>
      <c r="Y55" s="2">
        <f t="shared" si="4"/>
        <v>2.8517538463198482E-3</v>
      </c>
      <c r="Z55" s="2">
        <f t="shared" si="6"/>
        <v>0.31444208135400925</v>
      </c>
      <c r="AA55" s="2">
        <f t="shared" si="7"/>
        <v>0.90029999999999999</v>
      </c>
      <c r="AB55" s="2">
        <f t="shared" si="8"/>
        <v>0.91090000000000004</v>
      </c>
    </row>
    <row r="56" spans="1:28" x14ac:dyDescent="0.25">
      <c r="A56" t="s">
        <v>45</v>
      </c>
      <c r="B56" t="s">
        <v>46</v>
      </c>
      <c r="C56" t="s">
        <v>34</v>
      </c>
      <c r="D56" s="2">
        <v>0.1772</v>
      </c>
      <c r="E56" s="2">
        <v>0.1769</v>
      </c>
      <c r="F56" s="2">
        <v>0.18240000000000001</v>
      </c>
      <c r="G56" s="2">
        <v>0.15740000000000001</v>
      </c>
      <c r="H56" s="2">
        <v>0.1726</v>
      </c>
      <c r="I56" s="2">
        <v>0.16669999999999999</v>
      </c>
      <c r="J56" s="2">
        <v>0.16239999999999999</v>
      </c>
      <c r="K56" s="2">
        <v>0.16450000000000001</v>
      </c>
      <c r="L56" s="2">
        <v>0.16089999999999999</v>
      </c>
      <c r="M56" s="2">
        <v>0.1711</v>
      </c>
      <c r="N56" s="2">
        <v>0.1646</v>
      </c>
      <c r="O56" s="2">
        <v>0.1802</v>
      </c>
      <c r="P56" s="2">
        <v>0.16089999999999999</v>
      </c>
      <c r="Q56" s="2">
        <v>0.17649999999999999</v>
      </c>
      <c r="R56" s="2">
        <v>0.16839999999999999</v>
      </c>
      <c r="S56" s="2">
        <v>0.16969999999999999</v>
      </c>
      <c r="T56" s="2">
        <v>0.1769</v>
      </c>
      <c r="U56" s="2">
        <v>0.1759</v>
      </c>
      <c r="V56" s="2">
        <v>0.1648</v>
      </c>
      <c r="W56" s="2">
        <v>0.1666</v>
      </c>
      <c r="X56" s="2">
        <f t="shared" si="5"/>
        <v>0.16982999999999998</v>
      </c>
      <c r="Y56" s="2">
        <f t="shared" si="4"/>
        <v>7.1928400071474595E-3</v>
      </c>
      <c r="Z56" s="2">
        <f t="shared" si="6"/>
        <v>4.2353176748203856</v>
      </c>
      <c r="AA56" s="2">
        <f t="shared" si="7"/>
        <v>0.15740000000000001</v>
      </c>
      <c r="AB56" s="2">
        <f t="shared" si="8"/>
        <v>0.18240000000000001</v>
      </c>
    </row>
    <row r="57" spans="1:28" x14ac:dyDescent="0.25">
      <c r="A57" t="s">
        <v>45</v>
      </c>
      <c r="B57" t="s">
        <v>47</v>
      </c>
      <c r="C57" t="s">
        <v>30</v>
      </c>
      <c r="D57" s="2">
        <v>0.59289999999999998</v>
      </c>
      <c r="E57" s="2">
        <v>0.61380000000000001</v>
      </c>
      <c r="F57" s="2">
        <v>0.61780000000000002</v>
      </c>
      <c r="G57" s="2">
        <v>0.62039999999999995</v>
      </c>
      <c r="H57" s="2">
        <v>0.59960000000000002</v>
      </c>
      <c r="I57" s="2">
        <v>0.58179999999999998</v>
      </c>
      <c r="J57" s="2">
        <v>0.58389999999999997</v>
      </c>
      <c r="K57" s="2">
        <v>0.60119999999999996</v>
      </c>
      <c r="L57" s="2">
        <v>0.61829999999999996</v>
      </c>
      <c r="M57" s="2">
        <v>0.58450000000000002</v>
      </c>
      <c r="N57" s="2">
        <v>0.61809999999999998</v>
      </c>
      <c r="O57" s="2">
        <v>0.60750000000000004</v>
      </c>
      <c r="P57" s="2">
        <v>0.62929999999999997</v>
      </c>
      <c r="Q57" s="2">
        <v>0.57799999999999996</v>
      </c>
      <c r="R57" s="2">
        <v>0.61850000000000005</v>
      </c>
      <c r="S57" s="2">
        <v>0.63859999999999995</v>
      </c>
      <c r="T57" s="2">
        <v>0.63749999999999996</v>
      </c>
      <c r="U57" s="2">
        <v>0.6038</v>
      </c>
      <c r="V57" s="2">
        <v>0.63280000000000003</v>
      </c>
      <c r="W57" s="2">
        <v>0.58130000000000004</v>
      </c>
      <c r="X57" s="2">
        <f t="shared" si="5"/>
        <v>0.60797999999999996</v>
      </c>
      <c r="Y57" s="2">
        <f t="shared" si="4"/>
        <v>1.9563946432149107E-2</v>
      </c>
      <c r="Z57" s="2">
        <f t="shared" si="6"/>
        <v>3.2178601980573553</v>
      </c>
      <c r="AA57" s="2">
        <f t="shared" si="7"/>
        <v>0.57799999999999996</v>
      </c>
      <c r="AB57" s="2">
        <f t="shared" si="8"/>
        <v>0.63859999999999995</v>
      </c>
    </row>
    <row r="58" spans="1:28" x14ac:dyDescent="0.25">
      <c r="A58" t="s">
        <v>45</v>
      </c>
      <c r="B58" t="s">
        <v>47</v>
      </c>
      <c r="C58" t="s">
        <v>31</v>
      </c>
      <c r="D58" s="2">
        <v>0.77780000000000005</v>
      </c>
      <c r="E58" s="2">
        <v>0.75539999999999996</v>
      </c>
      <c r="F58" s="2">
        <v>0.83940000000000003</v>
      </c>
      <c r="G58" s="2">
        <v>0.79979999999999996</v>
      </c>
      <c r="H58" s="2">
        <v>0.8085</v>
      </c>
      <c r="I58" s="2">
        <v>0.81699999999999995</v>
      </c>
      <c r="J58" s="2">
        <v>0.78879999999999995</v>
      </c>
      <c r="K58" s="2">
        <v>0.7964</v>
      </c>
      <c r="L58" s="2">
        <v>0.83399999999999996</v>
      </c>
      <c r="M58" s="2">
        <v>0.80049999999999999</v>
      </c>
      <c r="N58" s="2">
        <v>0.8296</v>
      </c>
      <c r="O58" s="2">
        <v>0.80640000000000001</v>
      </c>
      <c r="P58" s="2">
        <v>0.78610000000000002</v>
      </c>
      <c r="Q58" s="2">
        <v>0.83789999999999998</v>
      </c>
      <c r="R58" s="2">
        <v>0.78390000000000004</v>
      </c>
      <c r="S58" s="2">
        <v>0.84009999999999996</v>
      </c>
      <c r="T58" s="2">
        <v>0.78480000000000005</v>
      </c>
      <c r="U58" s="2">
        <v>0.79010000000000002</v>
      </c>
      <c r="V58" s="2">
        <v>0.81289999999999996</v>
      </c>
      <c r="W58" s="2">
        <v>0.83850000000000002</v>
      </c>
      <c r="X58" s="2">
        <f t="shared" si="5"/>
        <v>0.80639499999999997</v>
      </c>
      <c r="Y58" s="2">
        <f t="shared" si="4"/>
        <v>2.4348402627817612E-2</v>
      </c>
      <c r="Z58" s="2">
        <f t="shared" si="6"/>
        <v>3.0194138887043711</v>
      </c>
      <c r="AA58" s="2">
        <f t="shared" si="7"/>
        <v>0.75539999999999996</v>
      </c>
      <c r="AB58" s="2">
        <f t="shared" si="8"/>
        <v>0.84009999999999996</v>
      </c>
    </row>
    <row r="59" spans="1:28" x14ac:dyDescent="0.25">
      <c r="A59" t="s">
        <v>45</v>
      </c>
      <c r="B59" t="s">
        <v>47</v>
      </c>
      <c r="C59" t="s">
        <v>32</v>
      </c>
      <c r="D59" s="2">
        <v>5.1162999999999998</v>
      </c>
      <c r="E59" s="2">
        <v>4.7442000000000002</v>
      </c>
      <c r="F59" s="2">
        <v>5.4531999999999998</v>
      </c>
      <c r="G59" s="2">
        <v>5.1047000000000002</v>
      </c>
      <c r="H59" s="2">
        <v>5.1696999999999997</v>
      </c>
      <c r="I59" s="2">
        <v>5.0239000000000003</v>
      </c>
      <c r="J59" s="2">
        <v>5.2325999999999997</v>
      </c>
      <c r="K59" s="2">
        <v>5.3765000000000001</v>
      </c>
      <c r="L59" s="2">
        <v>4.9440999999999997</v>
      </c>
      <c r="M59" s="2">
        <v>5.3548</v>
      </c>
      <c r="N59" s="2">
        <v>5.2843999999999998</v>
      </c>
      <c r="O59" s="2">
        <v>4.7657999999999996</v>
      </c>
      <c r="P59" s="2">
        <v>5.0537999999999998</v>
      </c>
      <c r="Q59" s="2">
        <v>5.1898</v>
      </c>
      <c r="R59" s="2">
        <v>4.9012000000000002</v>
      </c>
      <c r="S59" s="2">
        <v>5.1543999999999999</v>
      </c>
      <c r="T59" s="2">
        <v>5.6913999999999998</v>
      </c>
      <c r="U59" s="2">
        <v>5.2553999999999998</v>
      </c>
      <c r="V59" s="2">
        <v>4.8788999999999998</v>
      </c>
      <c r="W59" s="2">
        <v>5.1086999999999998</v>
      </c>
      <c r="X59" s="2">
        <f t="shared" si="5"/>
        <v>5.1401899999999996</v>
      </c>
      <c r="Y59" s="2">
        <f t="shared" si="4"/>
        <v>0.23333682430972477</v>
      </c>
      <c r="Z59" s="2">
        <f t="shared" si="6"/>
        <v>4.5394591310773489</v>
      </c>
      <c r="AA59" s="2">
        <f t="shared" si="7"/>
        <v>4.7442000000000002</v>
      </c>
      <c r="AB59" s="2">
        <f t="shared" si="8"/>
        <v>5.6913999999999998</v>
      </c>
    </row>
    <row r="60" spans="1:28" x14ac:dyDescent="0.25">
      <c r="A60" t="s">
        <v>45</v>
      </c>
      <c r="B60" t="s">
        <v>47</v>
      </c>
      <c r="C60" t="s">
        <v>33</v>
      </c>
      <c r="D60" s="2">
        <v>0.8992</v>
      </c>
      <c r="E60" s="2">
        <v>0.90280000000000005</v>
      </c>
      <c r="F60" s="2">
        <v>0.88429999999999997</v>
      </c>
      <c r="G60" s="2">
        <v>0.89990000000000003</v>
      </c>
      <c r="H60" s="2">
        <v>0.90269999999999995</v>
      </c>
      <c r="I60" s="2">
        <v>0.89790000000000003</v>
      </c>
      <c r="J60" s="2">
        <v>0.89600000000000002</v>
      </c>
      <c r="K60" s="2">
        <v>0.89139999999999997</v>
      </c>
      <c r="L60" s="2">
        <v>0.89470000000000005</v>
      </c>
      <c r="M60" s="2">
        <v>0.90300000000000002</v>
      </c>
      <c r="N60" s="2">
        <v>0.90139999999999998</v>
      </c>
      <c r="O60" s="2">
        <v>0.89329999999999998</v>
      </c>
      <c r="P60" s="2">
        <v>0.89090000000000003</v>
      </c>
      <c r="Q60" s="2">
        <v>0.89500000000000002</v>
      </c>
      <c r="R60" s="2">
        <v>0.89119999999999999</v>
      </c>
      <c r="S60" s="2">
        <v>0.89749999999999996</v>
      </c>
      <c r="T60" s="2">
        <v>0.8962</v>
      </c>
      <c r="U60" s="2">
        <v>0.8962</v>
      </c>
      <c r="V60" s="2">
        <v>0.89610000000000001</v>
      </c>
      <c r="W60" s="2">
        <v>0.89429999999999998</v>
      </c>
      <c r="X60" s="2">
        <f t="shared" si="5"/>
        <v>0.89620000000000011</v>
      </c>
      <c r="Y60" s="2">
        <f t="shared" si="4"/>
        <v>4.7008397905950973E-3</v>
      </c>
      <c r="Z60" s="2">
        <f t="shared" si="6"/>
        <v>0.52453021542011791</v>
      </c>
      <c r="AA60" s="2">
        <f t="shared" si="7"/>
        <v>0.88429999999999997</v>
      </c>
      <c r="AB60" s="2">
        <f t="shared" si="8"/>
        <v>0.90300000000000002</v>
      </c>
    </row>
    <row r="61" spans="1:28" x14ac:dyDescent="0.25">
      <c r="A61" t="s">
        <v>45</v>
      </c>
      <c r="B61" t="s">
        <v>47</v>
      </c>
      <c r="C61" t="s">
        <v>34</v>
      </c>
      <c r="D61" s="2">
        <v>0.18210000000000001</v>
      </c>
      <c r="E61" s="2">
        <v>0.2036</v>
      </c>
      <c r="F61" s="2">
        <v>0.18140000000000001</v>
      </c>
      <c r="G61" s="2">
        <v>0.19289999999999999</v>
      </c>
      <c r="H61" s="2">
        <v>0.18990000000000001</v>
      </c>
      <c r="I61" s="2">
        <v>0.1988</v>
      </c>
      <c r="J61" s="2">
        <v>0.182</v>
      </c>
      <c r="K61" s="2">
        <v>0.1961</v>
      </c>
      <c r="L61" s="2">
        <v>0.1847</v>
      </c>
      <c r="M61" s="2">
        <v>0.192</v>
      </c>
      <c r="N61" s="2">
        <v>0.1923</v>
      </c>
      <c r="O61" s="2">
        <v>0.1938</v>
      </c>
      <c r="P61" s="2">
        <v>0.189</v>
      </c>
      <c r="Q61" s="2">
        <v>0.18870000000000001</v>
      </c>
      <c r="R61" s="2">
        <v>0.19600000000000001</v>
      </c>
      <c r="S61" s="2">
        <v>0.19009999999999999</v>
      </c>
      <c r="T61" s="2">
        <v>0.18870000000000001</v>
      </c>
      <c r="U61" s="2">
        <v>0.1827</v>
      </c>
      <c r="V61" s="2">
        <v>0.19159999999999999</v>
      </c>
      <c r="W61" s="2">
        <v>0.18129999999999999</v>
      </c>
      <c r="X61" s="2">
        <f t="shared" si="5"/>
        <v>0.18988500000000003</v>
      </c>
      <c r="Y61" s="2">
        <f t="shared" si="4"/>
        <v>6.2064715800271113E-3</v>
      </c>
      <c r="Z61" s="2">
        <f t="shared" si="6"/>
        <v>3.2685423177328961</v>
      </c>
      <c r="AA61" s="2">
        <f t="shared" si="7"/>
        <v>0.18129999999999999</v>
      </c>
      <c r="AB61" s="2">
        <f t="shared" si="8"/>
        <v>0.2036</v>
      </c>
    </row>
    <row r="62" spans="1:28" x14ac:dyDescent="0.25">
      <c r="A62" t="s">
        <v>45</v>
      </c>
      <c r="B62" t="s">
        <v>48</v>
      </c>
      <c r="C62" t="s">
        <v>30</v>
      </c>
      <c r="D62" s="2">
        <v>0.67490000000000006</v>
      </c>
      <c r="E62" s="2">
        <v>0.70509999999999995</v>
      </c>
      <c r="F62" s="2">
        <v>0.68189999999999995</v>
      </c>
      <c r="G62" s="2">
        <v>0.67820000000000003</v>
      </c>
      <c r="H62" s="2">
        <v>0.63849999999999996</v>
      </c>
      <c r="I62" s="2">
        <v>0.68679999999999997</v>
      </c>
      <c r="J62" s="2">
        <v>0.67910000000000004</v>
      </c>
      <c r="K62" s="2">
        <v>0.70140000000000002</v>
      </c>
      <c r="L62" s="2">
        <v>0.68979999999999997</v>
      </c>
      <c r="M62" s="2">
        <v>0.68669999999999998</v>
      </c>
      <c r="N62" s="2">
        <v>0.71640000000000004</v>
      </c>
      <c r="O62" s="2">
        <v>0.66839999999999999</v>
      </c>
      <c r="P62" s="2">
        <v>0.67459999999999998</v>
      </c>
      <c r="Q62" s="2">
        <v>0.70709999999999995</v>
      </c>
      <c r="R62" s="2">
        <v>0.68289999999999995</v>
      </c>
      <c r="S62" s="2">
        <v>0.63139999999999996</v>
      </c>
      <c r="T62" s="2">
        <v>0.68300000000000005</v>
      </c>
      <c r="U62" s="2">
        <v>0.65990000000000004</v>
      </c>
      <c r="V62" s="2">
        <v>0.66849999999999998</v>
      </c>
      <c r="W62" s="2">
        <v>0.66100000000000003</v>
      </c>
      <c r="X62" s="2">
        <f t="shared" si="5"/>
        <v>0.67877999999999994</v>
      </c>
      <c r="Y62" s="2">
        <f t="shared" si="4"/>
        <v>2.115234465042886E-2</v>
      </c>
      <c r="Z62" s="2">
        <f t="shared" si="6"/>
        <v>3.1162298020608832</v>
      </c>
      <c r="AA62" s="2">
        <f t="shared" si="7"/>
        <v>0.63139999999999996</v>
      </c>
      <c r="AB62" s="2">
        <f t="shared" si="8"/>
        <v>0.71640000000000004</v>
      </c>
    </row>
    <row r="63" spans="1:28" x14ac:dyDescent="0.25">
      <c r="A63" t="s">
        <v>45</v>
      </c>
      <c r="B63" t="s">
        <v>48</v>
      </c>
      <c r="C63" t="s">
        <v>31</v>
      </c>
      <c r="D63" s="2">
        <v>0.86309999999999998</v>
      </c>
      <c r="E63" s="2">
        <v>0.88560000000000005</v>
      </c>
      <c r="F63" s="2">
        <v>0.83540000000000003</v>
      </c>
      <c r="G63" s="2">
        <v>0.9153</v>
      </c>
      <c r="H63" s="2">
        <v>0.93100000000000005</v>
      </c>
      <c r="I63" s="2">
        <v>0.90029999999999999</v>
      </c>
      <c r="J63" s="2">
        <v>0.8518</v>
      </c>
      <c r="K63" s="2">
        <v>0.91039999999999999</v>
      </c>
      <c r="L63" s="2">
        <v>0.87070000000000003</v>
      </c>
      <c r="M63" s="2">
        <v>0.95789999999999997</v>
      </c>
      <c r="N63" s="2">
        <v>0.90190000000000003</v>
      </c>
      <c r="O63" s="2">
        <v>0.89119999999999999</v>
      </c>
      <c r="P63" s="2">
        <v>0.8891</v>
      </c>
      <c r="Q63" s="2">
        <v>0.89959999999999996</v>
      </c>
      <c r="R63" s="2">
        <v>0.88880000000000003</v>
      </c>
      <c r="S63" s="2">
        <v>0.89549999999999996</v>
      </c>
      <c r="T63" s="2">
        <v>0.8891</v>
      </c>
      <c r="U63" s="2">
        <v>0.9486</v>
      </c>
      <c r="V63" s="2">
        <v>0.93320000000000003</v>
      </c>
      <c r="W63" s="2">
        <v>0.92300000000000004</v>
      </c>
      <c r="X63" s="2">
        <f t="shared" si="5"/>
        <v>0.89907499999999985</v>
      </c>
      <c r="Y63" s="2">
        <f t="shared" si="4"/>
        <v>3.0796631309284461E-2</v>
      </c>
      <c r="Z63" s="2">
        <f t="shared" si="6"/>
        <v>3.4253684408180036</v>
      </c>
      <c r="AA63" s="2">
        <f t="shared" si="7"/>
        <v>0.83540000000000003</v>
      </c>
      <c r="AB63" s="2">
        <f t="shared" si="8"/>
        <v>0.95789999999999997</v>
      </c>
    </row>
    <row r="64" spans="1:28" x14ac:dyDescent="0.25">
      <c r="A64" t="s">
        <v>45</v>
      </c>
      <c r="B64" t="s">
        <v>48</v>
      </c>
      <c r="C64" t="s">
        <v>32</v>
      </c>
      <c r="D64" s="2">
        <v>5.8569000000000004</v>
      </c>
      <c r="E64" s="2">
        <v>6.1509</v>
      </c>
      <c r="F64" s="2">
        <v>5.242</v>
      </c>
      <c r="G64" s="2">
        <v>5.6822999999999997</v>
      </c>
      <c r="H64" s="2">
        <v>5.593</v>
      </c>
      <c r="I64" s="2">
        <v>5.8394000000000004</v>
      </c>
      <c r="J64" s="2">
        <v>5.3804999999999996</v>
      </c>
      <c r="K64" s="2">
        <v>5.8220999999999998</v>
      </c>
      <c r="L64" s="2">
        <v>5.6927000000000003</v>
      </c>
      <c r="M64" s="2">
        <v>6.0178000000000003</v>
      </c>
      <c r="N64" s="2">
        <v>5.5797999999999996</v>
      </c>
      <c r="O64" s="2">
        <v>6.0315000000000003</v>
      </c>
      <c r="P64" s="2">
        <v>5.9386000000000001</v>
      </c>
      <c r="Q64" s="2">
        <v>5.4813000000000001</v>
      </c>
      <c r="R64" s="2">
        <v>5.9013999999999998</v>
      </c>
      <c r="S64" s="2">
        <v>5.5350000000000001</v>
      </c>
      <c r="T64" s="2">
        <v>5.6</v>
      </c>
      <c r="U64" s="2">
        <v>5.7123999999999997</v>
      </c>
      <c r="V64" s="2">
        <v>6.0420999999999996</v>
      </c>
      <c r="W64" s="2">
        <v>5.8227000000000002</v>
      </c>
      <c r="X64" s="2">
        <f t="shared" si="5"/>
        <v>5.7461199999999995</v>
      </c>
      <c r="Y64" s="2">
        <f t="shared" si="4"/>
        <v>0.23880328085553693</v>
      </c>
      <c r="Z64" s="2">
        <f t="shared" si="6"/>
        <v>4.1559048689469931</v>
      </c>
      <c r="AA64" s="2">
        <f t="shared" si="7"/>
        <v>5.242</v>
      </c>
      <c r="AB64" s="2">
        <f t="shared" si="8"/>
        <v>6.1509</v>
      </c>
    </row>
    <row r="65" spans="1:28" x14ac:dyDescent="0.25">
      <c r="A65" t="s">
        <v>45</v>
      </c>
      <c r="B65" t="s">
        <v>48</v>
      </c>
      <c r="C65" t="s">
        <v>33</v>
      </c>
      <c r="D65" s="2">
        <v>0.89419999999999999</v>
      </c>
      <c r="E65" s="2">
        <v>0.88090000000000002</v>
      </c>
      <c r="F65" s="2">
        <v>0.8891</v>
      </c>
      <c r="G65" s="2">
        <v>0.87549999999999994</v>
      </c>
      <c r="H65" s="2">
        <v>0.8911</v>
      </c>
      <c r="I65" s="2">
        <v>0.8911</v>
      </c>
      <c r="J65" s="2">
        <v>0.89329999999999998</v>
      </c>
      <c r="K65" s="2">
        <v>0.89319999999999999</v>
      </c>
      <c r="L65" s="2">
        <v>0.872</v>
      </c>
      <c r="M65" s="2">
        <v>0.88629999999999998</v>
      </c>
      <c r="N65" s="2">
        <v>0.88480000000000003</v>
      </c>
      <c r="O65" s="2">
        <v>0.88060000000000005</v>
      </c>
      <c r="P65" s="2">
        <v>0.89059999999999995</v>
      </c>
      <c r="Q65" s="2">
        <v>0.88039999999999996</v>
      </c>
      <c r="R65" s="2">
        <v>0.88749999999999996</v>
      </c>
      <c r="S65" s="2">
        <v>0.89359999999999995</v>
      </c>
      <c r="T65" s="2">
        <v>0.876</v>
      </c>
      <c r="U65" s="2">
        <v>0.87529999999999997</v>
      </c>
      <c r="V65" s="2">
        <v>0.87829999999999997</v>
      </c>
      <c r="W65" s="2">
        <v>0.88639999999999997</v>
      </c>
      <c r="X65" s="2">
        <f t="shared" si="5"/>
        <v>0.88500999999999974</v>
      </c>
      <c r="Y65" s="2">
        <f t="shared" si="4"/>
        <v>7.1223074321384583E-3</v>
      </c>
      <c r="Z65" s="2">
        <f t="shared" si="6"/>
        <v>0.80477140734437591</v>
      </c>
      <c r="AA65" s="2">
        <f t="shared" si="7"/>
        <v>0.872</v>
      </c>
      <c r="AB65" s="2">
        <f t="shared" si="8"/>
        <v>0.89419999999999999</v>
      </c>
    </row>
    <row r="66" spans="1:28" x14ac:dyDescent="0.25">
      <c r="A66" t="s">
        <v>45</v>
      </c>
      <c r="B66" t="s">
        <v>48</v>
      </c>
      <c r="C66" t="s">
        <v>34</v>
      </c>
      <c r="D66" s="2">
        <v>0.2056</v>
      </c>
      <c r="E66" s="2">
        <v>0.216</v>
      </c>
      <c r="F66" s="2">
        <v>0.25319999999999998</v>
      </c>
      <c r="G66" s="2">
        <v>0.21790000000000001</v>
      </c>
      <c r="H66" s="2">
        <v>0.22470000000000001</v>
      </c>
      <c r="I66" s="2">
        <v>0.2263</v>
      </c>
      <c r="J66" s="2">
        <v>0.2286</v>
      </c>
      <c r="K66" s="2">
        <v>0.22689999999999999</v>
      </c>
      <c r="L66" s="2">
        <v>0.2258</v>
      </c>
      <c r="M66" s="2">
        <v>0.23280000000000001</v>
      </c>
      <c r="N66" s="2">
        <v>0.2366</v>
      </c>
      <c r="O66" s="2">
        <v>0.20130000000000001</v>
      </c>
      <c r="P66" s="2">
        <v>0.23860000000000001</v>
      </c>
      <c r="Q66" s="2">
        <v>0.20880000000000001</v>
      </c>
      <c r="R66" s="2">
        <v>0.2306</v>
      </c>
      <c r="S66" s="2">
        <v>0.2288</v>
      </c>
      <c r="T66" s="2">
        <v>0.22750000000000001</v>
      </c>
      <c r="U66" s="2">
        <v>0.21920000000000001</v>
      </c>
      <c r="V66" s="2">
        <v>0.20949999999999999</v>
      </c>
      <c r="W66" s="2">
        <v>0.2223</v>
      </c>
      <c r="X66" s="2">
        <f t="shared" ref="X66:X97" si="9">AVERAGE(D66:W66)</f>
        <v>0.22405</v>
      </c>
      <c r="Y66" s="2">
        <f t="shared" si="4"/>
        <v>1.2229537151804576E-2</v>
      </c>
      <c r="Z66" s="2">
        <f t="shared" ref="Z66:Z97" si="10">IFERROR(Y66/ABS(X66)*100,"")</f>
        <v>5.4583964078574319</v>
      </c>
      <c r="AA66" s="2">
        <f t="shared" ref="AA66:AA71" si="11">MIN(D66:W66)</f>
        <v>0.20130000000000001</v>
      </c>
      <c r="AB66" s="2">
        <f t="shared" ref="AB66:AB71" si="12">MAX(D66:W66)</f>
        <v>0.25319999999999998</v>
      </c>
    </row>
    <row r="67" spans="1:28" x14ac:dyDescent="0.25">
      <c r="A67" t="s">
        <v>45</v>
      </c>
      <c r="B67" t="s">
        <v>49</v>
      </c>
      <c r="C67" t="s">
        <v>30</v>
      </c>
      <c r="D67" s="2">
        <v>0.71660000000000001</v>
      </c>
      <c r="E67" s="2">
        <v>0.73360000000000003</v>
      </c>
      <c r="F67" s="2">
        <v>0.72</v>
      </c>
      <c r="G67" s="2">
        <v>0.74770000000000003</v>
      </c>
      <c r="H67" s="2">
        <v>0.74490000000000001</v>
      </c>
      <c r="I67" s="2">
        <v>0.74580000000000002</v>
      </c>
      <c r="J67" s="2">
        <v>0.73599999999999999</v>
      </c>
      <c r="K67" s="2">
        <v>0.75360000000000005</v>
      </c>
      <c r="L67" s="2">
        <v>0.75570000000000004</v>
      </c>
      <c r="M67" s="2">
        <v>0.7339</v>
      </c>
      <c r="N67" s="2">
        <v>0.72789999999999999</v>
      </c>
      <c r="O67" s="2">
        <v>0.7409</v>
      </c>
      <c r="P67" s="2">
        <v>0.76490000000000002</v>
      </c>
      <c r="Q67" s="2">
        <v>0.77790000000000004</v>
      </c>
      <c r="R67" s="2">
        <v>0.73670000000000002</v>
      </c>
      <c r="S67" s="2">
        <v>0.75270000000000004</v>
      </c>
      <c r="T67" s="2">
        <v>0.75919999999999999</v>
      </c>
      <c r="U67" s="2">
        <v>0.75439999999999996</v>
      </c>
      <c r="V67" s="2">
        <v>0.74719999999999998</v>
      </c>
      <c r="W67" s="2">
        <v>0.72609999999999997</v>
      </c>
      <c r="X67" s="2">
        <f t="shared" si="9"/>
        <v>0.74378500000000014</v>
      </c>
      <c r="Y67" s="2">
        <f t="shared" ref="Y67:Y71" si="13">_xlfn.STDEV.S(D67:W67)</f>
        <v>1.5390471248898072E-2</v>
      </c>
      <c r="Z67" s="2">
        <f t="shared" si="10"/>
        <v>2.0692096841020011</v>
      </c>
      <c r="AA67" s="2">
        <f t="shared" si="11"/>
        <v>0.71660000000000001</v>
      </c>
      <c r="AB67" s="2">
        <f t="shared" si="12"/>
        <v>0.77790000000000004</v>
      </c>
    </row>
    <row r="68" spans="1:28" x14ac:dyDescent="0.25">
      <c r="A68" t="s">
        <v>45</v>
      </c>
      <c r="B68" t="s">
        <v>49</v>
      </c>
      <c r="C68" t="s">
        <v>31</v>
      </c>
      <c r="D68" s="2">
        <v>0.95579999999999998</v>
      </c>
      <c r="E68" s="2">
        <v>1.044</v>
      </c>
      <c r="F68" s="2">
        <v>0.97299999999999998</v>
      </c>
      <c r="G68" s="2">
        <v>1.0012000000000001</v>
      </c>
      <c r="H68" s="2">
        <v>0.99419999999999997</v>
      </c>
      <c r="I68" s="2">
        <v>1.0142</v>
      </c>
      <c r="J68" s="2">
        <v>0.93940000000000001</v>
      </c>
      <c r="K68" s="2">
        <v>0.95620000000000005</v>
      </c>
      <c r="L68" s="2">
        <v>0.97560000000000002</v>
      </c>
      <c r="M68" s="2">
        <v>0.96840000000000004</v>
      </c>
      <c r="N68" s="2">
        <v>0.96519999999999995</v>
      </c>
      <c r="O68" s="2">
        <v>0.98619999999999997</v>
      </c>
      <c r="P68" s="2">
        <v>0.98780000000000001</v>
      </c>
      <c r="Q68" s="2">
        <v>1.0309999999999999</v>
      </c>
      <c r="R68" s="2">
        <v>0.95479999999999998</v>
      </c>
      <c r="S68" s="2">
        <v>1.0405</v>
      </c>
      <c r="T68" s="2">
        <v>0.96020000000000005</v>
      </c>
      <c r="U68" s="2">
        <v>1.03</v>
      </c>
      <c r="V68" s="2">
        <v>0.97889999999999999</v>
      </c>
      <c r="W68" s="2">
        <v>0.98939999999999995</v>
      </c>
      <c r="X68" s="2">
        <f t="shared" si="9"/>
        <v>0.98730000000000007</v>
      </c>
      <c r="Y68" s="2">
        <f t="shared" si="13"/>
        <v>3.0822496910365215E-2</v>
      </c>
      <c r="Z68" s="2">
        <f t="shared" si="10"/>
        <v>3.1218977930077196</v>
      </c>
      <c r="AA68" s="2">
        <f t="shared" si="11"/>
        <v>0.93940000000000001</v>
      </c>
      <c r="AB68" s="2">
        <f t="shared" si="12"/>
        <v>1.044</v>
      </c>
    </row>
    <row r="69" spans="1:28" x14ac:dyDescent="0.25">
      <c r="A69" t="s">
        <v>45</v>
      </c>
      <c r="B69" t="s">
        <v>49</v>
      </c>
      <c r="C69" t="s">
        <v>32</v>
      </c>
      <c r="D69" s="2">
        <v>6.0857999999999999</v>
      </c>
      <c r="E69" s="2">
        <v>5.9358000000000004</v>
      </c>
      <c r="F69" s="2">
        <v>6.4137000000000004</v>
      </c>
      <c r="G69" s="2">
        <v>6.4572000000000003</v>
      </c>
      <c r="H69" s="2">
        <v>6.2256999999999998</v>
      </c>
      <c r="I69" s="2">
        <v>6.4031000000000002</v>
      </c>
      <c r="J69" s="2">
        <v>6.4439000000000002</v>
      </c>
      <c r="K69" s="2">
        <v>6.5930999999999997</v>
      </c>
      <c r="L69" s="2">
        <v>6.0106000000000002</v>
      </c>
      <c r="M69" s="2">
        <v>6.4589999999999996</v>
      </c>
      <c r="N69" s="2">
        <v>6.1767000000000003</v>
      </c>
      <c r="O69" s="2">
        <v>6.6334</v>
      </c>
      <c r="P69" s="2">
        <v>6.0278999999999998</v>
      </c>
      <c r="Q69" s="2">
        <v>6.3433999999999999</v>
      </c>
      <c r="R69" s="2">
        <v>5.9732000000000003</v>
      </c>
      <c r="S69" s="2">
        <v>6.2008999999999999</v>
      </c>
      <c r="T69" s="2">
        <v>6.4816000000000003</v>
      </c>
      <c r="U69" s="2">
        <v>6.4973999999999998</v>
      </c>
      <c r="V69" s="2">
        <v>6.1158000000000001</v>
      </c>
      <c r="W69" s="2">
        <v>6.5688000000000004</v>
      </c>
      <c r="X69" s="2">
        <f t="shared" si="9"/>
        <v>6.3023500000000006</v>
      </c>
      <c r="Y69" s="2">
        <f t="shared" si="13"/>
        <v>0.22300324637712524</v>
      </c>
      <c r="Z69" s="2">
        <f t="shared" si="10"/>
        <v>3.538414184821935</v>
      </c>
      <c r="AA69" s="2">
        <f t="shared" si="11"/>
        <v>5.9358000000000004</v>
      </c>
      <c r="AB69" s="2">
        <f t="shared" si="12"/>
        <v>6.6334</v>
      </c>
    </row>
    <row r="70" spans="1:28" x14ac:dyDescent="0.25">
      <c r="A70" t="s">
        <v>45</v>
      </c>
      <c r="B70" t="s">
        <v>49</v>
      </c>
      <c r="C70" t="s">
        <v>33</v>
      </c>
      <c r="D70" s="2">
        <v>0.87060000000000004</v>
      </c>
      <c r="E70" s="2">
        <v>0.86799999999999999</v>
      </c>
      <c r="F70" s="2">
        <v>0.87009999999999998</v>
      </c>
      <c r="G70" s="2">
        <v>0.878</v>
      </c>
      <c r="H70" s="2">
        <v>0.87819999999999998</v>
      </c>
      <c r="I70" s="2">
        <v>0.87470000000000003</v>
      </c>
      <c r="J70" s="2">
        <v>0.87209999999999999</v>
      </c>
      <c r="K70" s="2">
        <v>0.87519999999999998</v>
      </c>
      <c r="L70" s="2">
        <v>0.87019999999999997</v>
      </c>
      <c r="M70" s="2">
        <v>0.87870000000000004</v>
      </c>
      <c r="N70" s="2">
        <v>0.87009999999999998</v>
      </c>
      <c r="O70" s="2">
        <v>0.87029999999999996</v>
      </c>
      <c r="P70" s="2">
        <v>0.87380000000000002</v>
      </c>
      <c r="Q70" s="2">
        <v>0.88370000000000004</v>
      </c>
      <c r="R70" s="2">
        <v>0.86780000000000002</v>
      </c>
      <c r="S70" s="2">
        <v>0.86839999999999995</v>
      </c>
      <c r="T70" s="2">
        <v>0.87090000000000001</v>
      </c>
      <c r="U70" s="2">
        <v>0.86899999999999999</v>
      </c>
      <c r="V70" s="2">
        <v>0.87409999999999999</v>
      </c>
      <c r="W70" s="2">
        <v>0.87450000000000006</v>
      </c>
      <c r="X70" s="2">
        <f t="shared" si="9"/>
        <v>0.87291999999999992</v>
      </c>
      <c r="Y70" s="2">
        <f t="shared" si="13"/>
        <v>4.2479220926546265E-3</v>
      </c>
      <c r="Z70" s="2">
        <f t="shared" si="10"/>
        <v>0.48663360819486629</v>
      </c>
      <c r="AA70" s="2">
        <f t="shared" si="11"/>
        <v>0.86780000000000002</v>
      </c>
      <c r="AB70" s="2">
        <f t="shared" si="12"/>
        <v>0.88370000000000004</v>
      </c>
    </row>
    <row r="71" spans="1:28" x14ac:dyDescent="0.25">
      <c r="A71" t="s">
        <v>45</v>
      </c>
      <c r="B71" t="s">
        <v>49</v>
      </c>
      <c r="C71" t="s">
        <v>34</v>
      </c>
      <c r="D71" s="2">
        <v>0.23219999999999999</v>
      </c>
      <c r="E71" s="2">
        <v>0.2288</v>
      </c>
      <c r="F71" s="2">
        <v>0.25190000000000001</v>
      </c>
      <c r="G71" s="2">
        <v>0.24879999999999999</v>
      </c>
      <c r="H71" s="2">
        <v>0.25540000000000002</v>
      </c>
      <c r="I71" s="2">
        <v>0.25080000000000002</v>
      </c>
      <c r="J71" s="2">
        <v>0.2339</v>
      </c>
      <c r="K71" s="2">
        <v>0.27160000000000001</v>
      </c>
      <c r="L71" s="2">
        <v>0.21510000000000001</v>
      </c>
      <c r="M71" s="2">
        <v>0.25819999999999999</v>
      </c>
      <c r="N71" s="2">
        <v>0.25340000000000001</v>
      </c>
      <c r="O71" s="2">
        <v>0.26169999999999999</v>
      </c>
      <c r="P71" s="2">
        <v>0.22109999999999999</v>
      </c>
      <c r="Q71" s="2">
        <v>0.24779999999999999</v>
      </c>
      <c r="R71" s="2">
        <v>0.24329999999999999</v>
      </c>
      <c r="S71" s="2">
        <v>0.27110000000000001</v>
      </c>
      <c r="T71" s="2">
        <v>0.246</v>
      </c>
      <c r="U71" s="2">
        <v>0.2392</v>
      </c>
      <c r="V71" s="2">
        <v>0.23050000000000001</v>
      </c>
      <c r="W71" s="2">
        <v>0.22040000000000001</v>
      </c>
      <c r="X71" s="2">
        <f t="shared" si="9"/>
        <v>0.24406000000000003</v>
      </c>
      <c r="Y71" s="2">
        <f t="shared" si="13"/>
        <v>1.6180117753783987E-2</v>
      </c>
      <c r="Z71" s="2">
        <f t="shared" si="10"/>
        <v>6.6295655796869566</v>
      </c>
      <c r="AA71" s="2">
        <f t="shared" si="11"/>
        <v>0.21510000000000001</v>
      </c>
      <c r="AB71" s="2">
        <f t="shared" si="12"/>
        <v>0.27160000000000001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D33" sqref="D33"/>
    </sheetView>
  </sheetViews>
  <sheetFormatPr defaultRowHeight="15" x14ac:dyDescent="0.25"/>
  <cols>
    <col min="1" max="1" width="25" customWidth="1"/>
    <col min="2" max="2" width="16" customWidth="1"/>
    <col min="3" max="7" width="20" customWidth="1"/>
  </cols>
  <sheetData>
    <row r="1" spans="1:7" x14ac:dyDescent="0.25">
      <c r="A1" s="3" t="s">
        <v>0</v>
      </c>
      <c r="B1" s="3" t="s">
        <v>1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spans="1:7" x14ac:dyDescent="0.25">
      <c r="A2" t="s">
        <v>28</v>
      </c>
      <c r="B2" t="s">
        <v>29</v>
      </c>
      <c r="C2" t="str">
        <f>TEXT(Results_Table13!X2,"0.000")&amp;" ± "&amp;TEXT(Results_Table13!Y2,"0.000")</f>
        <v>0.543 ± 0.010</v>
      </c>
      <c r="D2" t="str">
        <f>TEXT(Results_Table13!X3,"0.000")&amp;" ± "&amp;TEXT(Results_Table13!Y3,"0.000")</f>
        <v>0.718 ± 0.020</v>
      </c>
      <c r="E2" t="str">
        <f>TEXT(Results_Table13!X4,"0.000")&amp;" ± "&amp;TEXT(Results_Table13!Y4,"0.000")</f>
        <v>4.587 ± 0.128</v>
      </c>
      <c r="F2" t="str">
        <f>TEXT(Results_Table13!X5,"0.000")&amp;" ± "&amp;TEXT(Results_Table13!Y5,"0.000")</f>
        <v>0.909 ± 0.004</v>
      </c>
      <c r="G2" t="str">
        <f>TEXT(Results_Table13!X6,"0.000")&amp;" ± "&amp;TEXT(Results_Table13!Y6,"0.000")</f>
        <v>0.169 ± 0.008</v>
      </c>
    </row>
    <row r="3" spans="1:7" x14ac:dyDescent="0.25">
      <c r="A3" t="s">
        <v>28</v>
      </c>
      <c r="B3" t="s">
        <v>35</v>
      </c>
      <c r="C3" t="str">
        <f>TEXT(Results_Table13!X7,"0.000")&amp;" ± "&amp;TEXT(Results_Table13!Y7,"0.000")</f>
        <v>0.622 ± 0.015</v>
      </c>
      <c r="D3" t="str">
        <f>TEXT(Results_Table13!X8,"0.000")&amp;" ± "&amp;TEXT(Results_Table13!Y8,"0.000")</f>
        <v>0.821 ± 0.020</v>
      </c>
      <c r="E3" t="str">
        <f>TEXT(Results_Table13!X9,"0.000")&amp;" ± "&amp;TEXT(Results_Table13!Y9,"0.000")</f>
        <v>5.258 ± 0.220</v>
      </c>
      <c r="F3" t="str">
        <f>TEXT(Results_Table13!X10,"0.000")&amp;" ± "&amp;TEXT(Results_Table13!Y10,"0.000")</f>
        <v>0.893 ± 0.005</v>
      </c>
      <c r="G3" t="str">
        <f>TEXT(Results_Table13!X11,"0.000")&amp;" ± "&amp;TEXT(Results_Table13!Y11,"0.000")</f>
        <v>0.197 ± 0.010</v>
      </c>
    </row>
    <row r="4" spans="1:7" x14ac:dyDescent="0.25">
      <c r="A4" t="s">
        <v>28</v>
      </c>
      <c r="B4" t="s">
        <v>36</v>
      </c>
      <c r="C4" t="str">
        <f>TEXT(Results_Table13!X12,"0.000")&amp;" ± "&amp;TEXT(Results_Table13!Y12,"0.000")</f>
        <v>0.685 ± 0.019</v>
      </c>
      <c r="D4" t="str">
        <f>TEXT(Results_Table13!X13,"0.000")&amp;" ± "&amp;TEXT(Results_Table13!Y13,"0.000")</f>
        <v>0.904 ± 0.021</v>
      </c>
      <c r="E4" t="str">
        <f>TEXT(Results_Table13!X14,"0.000")&amp;" ± "&amp;TEXT(Results_Table13!Y14,"0.000")</f>
        <v>5.778 ± 0.147</v>
      </c>
      <c r="F4" t="str">
        <f>TEXT(Results_Table13!X15,"0.000")&amp;" ± "&amp;TEXT(Results_Table13!Y15,"0.000")</f>
        <v>0.885 ± 0.005</v>
      </c>
      <c r="G4" t="str">
        <f>TEXT(Results_Table13!X16,"0.000")&amp;" ± "&amp;TEXT(Results_Table13!Y16,"0.000")</f>
        <v>0.221 ± 0.012</v>
      </c>
    </row>
    <row r="5" spans="1:7" x14ac:dyDescent="0.25">
      <c r="A5" t="s">
        <v>28</v>
      </c>
      <c r="B5" t="s">
        <v>37</v>
      </c>
      <c r="C5" t="str">
        <f>TEXT(Results_Table13!X17,"0.000")&amp;" ± "&amp;TEXT(Results_Table13!Y17,"0.000")</f>
        <v>0.752 ± 0.024</v>
      </c>
      <c r="D5" t="str">
        <f>TEXT(Results_Table13!X18,"0.000")&amp;" ± "&amp;TEXT(Results_Table13!Y18,"0.000")</f>
        <v>0.999 ± 0.039</v>
      </c>
      <c r="E5" t="str">
        <f>TEXT(Results_Table13!X19,"0.000")&amp;" ± "&amp;TEXT(Results_Table13!Y19,"0.000")</f>
        <v>6.371 ± 0.251</v>
      </c>
      <c r="F5" t="str">
        <f>TEXT(Results_Table13!X20,"0.000")&amp;" ± "&amp;TEXT(Results_Table13!Y20,"0.000")</f>
        <v>0.871 ± 0.007</v>
      </c>
      <c r="G5" t="str">
        <f>TEXT(Results_Table13!X21,"0.000")&amp;" ± "&amp;TEXT(Results_Table13!Y21,"0.000")</f>
        <v>0.248 ± 0.010</v>
      </c>
    </row>
    <row r="6" spans="1:7" x14ac:dyDescent="0.25">
      <c r="A6" t="s">
        <v>28</v>
      </c>
      <c r="B6" t="s">
        <v>38</v>
      </c>
      <c r="C6" t="str">
        <f>TEXT(Results_Table13!X22,"0.000")&amp;" ± "&amp;TEXT(Results_Table13!Y22,"0.000")</f>
        <v>0.816 ± 0.035</v>
      </c>
      <c r="D6" t="str">
        <f>TEXT(Results_Table13!X23,"0.000")&amp;" ± "&amp;TEXT(Results_Table13!Y23,"0.000")</f>
        <v>1.075 ± 0.042</v>
      </c>
      <c r="E6" t="str">
        <f>TEXT(Results_Table13!X24,"0.000")&amp;" ± "&amp;TEXT(Results_Table13!Y24,"0.000")</f>
        <v>6.933 ± 0.248</v>
      </c>
      <c r="F6" t="str">
        <f>TEXT(Results_Table13!X25,"0.000")&amp;" ± "&amp;TEXT(Results_Table13!Y25,"0.000")</f>
        <v>0.862 ± 0.007</v>
      </c>
      <c r="G6" t="str">
        <f>TEXT(Results_Table13!X26,"0.000")&amp;" ± "&amp;TEXT(Results_Table13!Y26,"0.000")</f>
        <v>0.269 ± 0.015</v>
      </c>
    </row>
    <row r="7" spans="1:7" x14ac:dyDescent="0.25">
      <c r="A7" t="s">
        <v>39</v>
      </c>
      <c r="B7" t="s">
        <v>40</v>
      </c>
      <c r="C7" t="str">
        <f>TEXT(Results_Table13!X27,"0.000")&amp;" ± "&amp;TEXT(Results_Table13!Y27,"0.000")</f>
        <v>0.542 ± 0.019</v>
      </c>
      <c r="D7" t="str">
        <f>TEXT(Results_Table13!X28,"0.000")&amp;" ± "&amp;TEXT(Results_Table13!Y28,"0.000")</f>
        <v>0.721 ± 0.022</v>
      </c>
      <c r="E7" t="str">
        <f>TEXT(Results_Table13!X29,"0.000")&amp;" ± "&amp;TEXT(Results_Table13!Y29,"0.000")</f>
        <v>4.573 ± 0.122</v>
      </c>
      <c r="F7" t="str">
        <f>TEXT(Results_Table13!X30,"0.000")&amp;" ± "&amp;TEXT(Results_Table13!Y30,"0.000")</f>
        <v>0.907 ± 0.003</v>
      </c>
      <c r="G7" t="str">
        <f>TEXT(Results_Table13!X31,"0.000")&amp;" ± "&amp;TEXT(Results_Table13!Y31,"0.000")</f>
        <v>0.175 ± 0.006</v>
      </c>
    </row>
    <row r="8" spans="1:7" x14ac:dyDescent="0.25">
      <c r="A8" t="s">
        <v>39</v>
      </c>
      <c r="B8" t="s">
        <v>41</v>
      </c>
      <c r="C8" t="str">
        <f>TEXT(Results_Table13!X32,"0.000")&amp;" ± "&amp;TEXT(Results_Table13!Y32,"0.000")</f>
        <v>0.607 ± 0.026</v>
      </c>
      <c r="D8" t="str">
        <f>TEXT(Results_Table13!X33,"0.000")&amp;" ± "&amp;TEXT(Results_Table13!Y33,"0.000")</f>
        <v>0.803 ± 0.027</v>
      </c>
      <c r="E8" t="str">
        <f>TEXT(Results_Table13!X34,"0.000")&amp;" ± "&amp;TEXT(Results_Table13!Y34,"0.000")</f>
        <v>5.158 ± 0.273</v>
      </c>
      <c r="F8" t="str">
        <f>TEXT(Results_Table13!X35,"0.000")&amp;" ± "&amp;TEXT(Results_Table13!Y35,"0.000")</f>
        <v>0.899 ± 0.005</v>
      </c>
      <c r="G8" t="str">
        <f>TEXT(Results_Table13!X36,"0.000")&amp;" ± "&amp;TEXT(Results_Table13!Y36,"0.000")</f>
        <v>0.188 ± 0.007</v>
      </c>
    </row>
    <row r="9" spans="1:7" x14ac:dyDescent="0.25">
      <c r="A9" t="s">
        <v>39</v>
      </c>
      <c r="B9" t="s">
        <v>42</v>
      </c>
      <c r="C9" t="str">
        <f>TEXT(Results_Table13!X37,"0.000")&amp;" ± "&amp;TEXT(Results_Table13!Y37,"0.000")</f>
        <v>0.683 ± 0.031</v>
      </c>
      <c r="D9" t="str">
        <f>TEXT(Results_Table13!X38,"0.000")&amp;" ± "&amp;TEXT(Results_Table13!Y38,"0.000")</f>
        <v>0.903 ± 0.030</v>
      </c>
      <c r="E9" t="str">
        <f>TEXT(Results_Table13!X39,"0.000")&amp;" ± "&amp;TEXT(Results_Table13!Y39,"0.000")</f>
        <v>5.791 ± 0.241</v>
      </c>
      <c r="F9" t="str">
        <f>TEXT(Results_Table13!X40,"0.000")&amp;" ± "&amp;TEXT(Results_Table13!Y40,"0.000")</f>
        <v>0.885 ± 0.007</v>
      </c>
      <c r="G9" t="str">
        <f>TEXT(Results_Table13!X41,"0.000")&amp;" ± "&amp;TEXT(Results_Table13!Y41,"0.000")</f>
        <v>0.220 ± 0.006</v>
      </c>
    </row>
    <row r="10" spans="1:7" x14ac:dyDescent="0.25">
      <c r="A10" t="s">
        <v>39</v>
      </c>
      <c r="B10" t="s">
        <v>43</v>
      </c>
      <c r="C10" t="str">
        <f>TEXT(Results_Table13!X42,"0.000")&amp;" ± "&amp;TEXT(Results_Table13!Y42,"0.000")</f>
        <v>0.736 ± 0.017</v>
      </c>
      <c r="D10" t="str">
        <f>TEXT(Results_Table13!X43,"0.000")&amp;" ± "&amp;TEXT(Results_Table13!Y43,"0.000")</f>
        <v>0.978 ± 0.039</v>
      </c>
      <c r="E10" t="str">
        <f>TEXT(Results_Table13!X44,"0.000")&amp;" ± "&amp;TEXT(Results_Table13!Y44,"0.000")</f>
        <v>6.208 ± 0.173</v>
      </c>
      <c r="F10" t="str">
        <f>TEXT(Results_Table13!X45,"0.000")&amp;" ± "&amp;TEXT(Results_Table13!Y45,"0.000")</f>
        <v>0.876 ± 0.007</v>
      </c>
      <c r="G10" t="str">
        <f>TEXT(Results_Table13!X46,"0.000")&amp;" ± "&amp;TEXT(Results_Table13!Y46,"0.000")</f>
        <v>0.239 ± 0.012</v>
      </c>
    </row>
    <row r="11" spans="1:7" x14ac:dyDescent="0.25">
      <c r="A11" t="s">
        <v>39</v>
      </c>
      <c r="B11" t="s">
        <v>44</v>
      </c>
      <c r="C11" t="str">
        <f>TEXT(Results_Table13!X47,"0.000")&amp;" ± "&amp;TEXT(Results_Table13!Y47,"0.000")</f>
        <v>0.809 ± 0.015</v>
      </c>
      <c r="D11" t="str">
        <f>TEXT(Results_Table13!X48,"0.000")&amp;" ± "&amp;TEXT(Results_Table13!Y48,"0.000")</f>
        <v>1.075 ± 0.050</v>
      </c>
      <c r="E11" t="str">
        <f>TEXT(Results_Table13!X49,"0.000")&amp;" ± "&amp;TEXT(Results_Table13!Y49,"0.000")</f>
        <v>6.827 ± 0.222</v>
      </c>
      <c r="F11" t="str">
        <f>TEXT(Results_Table13!X50,"0.000")&amp;" ± "&amp;TEXT(Results_Table13!Y50,"0.000")</f>
        <v>0.863 ± 0.009</v>
      </c>
      <c r="G11" t="str">
        <f>TEXT(Results_Table13!X51,"0.000")&amp;" ± "&amp;TEXT(Results_Table13!Y51,"0.000")</f>
        <v>0.266 ± 0.017</v>
      </c>
    </row>
    <row r="12" spans="1:7" x14ac:dyDescent="0.25">
      <c r="A12" t="s">
        <v>45</v>
      </c>
      <c r="B12" t="s">
        <v>46</v>
      </c>
      <c r="C12" t="str">
        <f>TEXT(Results_Table13!X52,"0.000")&amp;" ± "&amp;TEXT(Results_Table13!Y52,"0.000")</f>
        <v>0.551 ± 0.020</v>
      </c>
      <c r="D12" t="str">
        <f>TEXT(Results_Table13!X53,"0.000")&amp;" ± "&amp;TEXT(Results_Table13!Y53,"0.000")</f>
        <v>0.728 ± 0.019</v>
      </c>
      <c r="E12" t="str">
        <f>TEXT(Results_Table13!X54,"0.000")&amp;" ± "&amp;TEXT(Results_Table13!Y54,"0.000")</f>
        <v>4.663 ± 0.191</v>
      </c>
      <c r="F12" t="str">
        <f>TEXT(Results_Table13!X55,"0.000")&amp;" ± "&amp;TEXT(Results_Table13!Y55,"0.000")</f>
        <v>0.907 ± 0.003</v>
      </c>
      <c r="G12" t="str">
        <f>TEXT(Results_Table13!X56,"0.000")&amp;" ± "&amp;TEXT(Results_Table13!Y56,"0.000")</f>
        <v>0.170 ± 0.007</v>
      </c>
    </row>
    <row r="13" spans="1:7" x14ac:dyDescent="0.25">
      <c r="A13" t="s">
        <v>45</v>
      </c>
      <c r="B13" t="s">
        <v>47</v>
      </c>
      <c r="C13" t="str">
        <f>TEXT(Results_Table13!X57,"0.000")&amp;" ± "&amp;TEXT(Results_Table13!Y57,"0.000")</f>
        <v>0.608 ± 0.020</v>
      </c>
      <c r="D13" t="str">
        <f>TEXT(Results_Table13!X58,"0.000")&amp;" ± "&amp;TEXT(Results_Table13!Y58,"0.000")</f>
        <v>0.806 ± 0.024</v>
      </c>
      <c r="E13" t="str">
        <f>TEXT(Results_Table13!X59,"0.000")&amp;" ± "&amp;TEXT(Results_Table13!Y59,"0.000")</f>
        <v>5.140 ± 0.233</v>
      </c>
      <c r="F13" t="str">
        <f>TEXT(Results_Table13!X60,"0.000")&amp;" ± "&amp;TEXT(Results_Table13!Y60,"0.000")</f>
        <v>0.896 ± 0.005</v>
      </c>
      <c r="G13" t="str">
        <f>TEXT(Results_Table13!X61,"0.000")&amp;" ± "&amp;TEXT(Results_Table13!Y61,"0.000")</f>
        <v>0.190 ± 0.006</v>
      </c>
    </row>
    <row r="14" spans="1:7" x14ac:dyDescent="0.25">
      <c r="A14" t="s">
        <v>45</v>
      </c>
      <c r="B14" t="s">
        <v>48</v>
      </c>
      <c r="C14" t="str">
        <f>TEXT(Results_Table13!X62,"0.000")&amp;" ± "&amp;TEXT(Results_Table13!Y62,"0.000")</f>
        <v>0.679 ± 0.021</v>
      </c>
      <c r="D14" t="str">
        <f>TEXT(Results_Table13!X63,"0.000")&amp;" ± "&amp;TEXT(Results_Table13!Y63,"0.000")</f>
        <v>0.899 ± 0.031</v>
      </c>
      <c r="E14" t="str">
        <f>TEXT(Results_Table13!X64,"0.000")&amp;" ± "&amp;TEXT(Results_Table13!Y64,"0.000")</f>
        <v>5.746 ± 0.239</v>
      </c>
      <c r="F14" t="str">
        <f>TEXT(Results_Table13!X65,"0.000")&amp;" ± "&amp;TEXT(Results_Table13!Y65,"0.000")</f>
        <v>0.885 ± 0.007</v>
      </c>
      <c r="G14" t="str">
        <f>TEXT(Results_Table13!X66,"0.000")&amp;" ± "&amp;TEXT(Results_Table13!Y66,"0.000")</f>
        <v>0.224 ± 0.012</v>
      </c>
    </row>
    <row r="15" spans="1:7" x14ac:dyDescent="0.25">
      <c r="A15" t="s">
        <v>45</v>
      </c>
      <c r="B15" t="s">
        <v>49</v>
      </c>
      <c r="C15" t="str">
        <f>TEXT(Results_Table13!X67,"0.000")&amp;" ± "&amp;TEXT(Results_Table13!Y67,"0.000")</f>
        <v>0.744 ± 0.015</v>
      </c>
      <c r="D15" t="str">
        <f>TEXT(Results_Table13!X68,"0.000")&amp;" ± "&amp;TEXT(Results_Table13!Y68,"0.000")</f>
        <v>0.987 ± 0.031</v>
      </c>
      <c r="E15" t="str">
        <f>TEXT(Results_Table13!X69,"0.000")&amp;" ± "&amp;TEXT(Results_Table13!Y69,"0.000")</f>
        <v>6.302 ± 0.223</v>
      </c>
      <c r="F15" t="str">
        <f>TEXT(Results_Table13!X70,"0.000")&amp;" ± "&amp;TEXT(Results_Table13!Y70,"0.000")</f>
        <v>0.873 ± 0.004</v>
      </c>
      <c r="G15" t="str">
        <f>TEXT(Results_Table13!X71,"0.000")&amp;" ± "&amp;TEXT(Results_Table13!Y71,"0.000")</f>
        <v>0.244 ± 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Results_Table13</vt:lpstr>
      <vt:lpstr>Table13_Summary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2026-09-26T17:50:03Z</dcterms:created>
  <dcterms:modified xsi:type="dcterms:W3CDTF">2026-09-26T17:52:59Z</dcterms:modified>
</cp:coreProperties>
</file>