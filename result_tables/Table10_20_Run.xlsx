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A6995454-26BE-4EB2-906D-6E774746B8B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10" sheetId="1" r:id="rId1"/>
    <sheet name="Table10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AA21" i="1"/>
  <c r="Z21" i="1"/>
  <c r="W21" i="1"/>
  <c r="AA20" i="1"/>
  <c r="Z20" i="1"/>
  <c r="W20" i="1"/>
  <c r="E5" i="2" s="1"/>
  <c r="AA19" i="1"/>
  <c r="Z19" i="1"/>
  <c r="W19" i="1"/>
  <c r="AA18" i="1"/>
  <c r="Z18" i="1"/>
  <c r="W18" i="1"/>
  <c r="C5" i="2" s="1"/>
  <c r="AA17" i="1"/>
  <c r="Z17" i="1"/>
  <c r="W17" i="1"/>
  <c r="AA16" i="1"/>
  <c r="Z16" i="1"/>
  <c r="W16" i="1"/>
  <c r="F4" i="2" s="1"/>
  <c r="AA15" i="1"/>
  <c r="Z15" i="1"/>
  <c r="W15" i="1"/>
  <c r="E4" i="2" s="1"/>
  <c r="AA14" i="1"/>
  <c r="Z14" i="1"/>
  <c r="Y14" i="1"/>
  <c r="W14" i="1"/>
  <c r="AA13" i="1"/>
  <c r="Z13" i="1"/>
  <c r="W13" i="1"/>
  <c r="AA12" i="1"/>
  <c r="Z12" i="1"/>
  <c r="W12" i="1"/>
  <c r="B4" i="2" s="1"/>
  <c r="AA11" i="1"/>
  <c r="Z11" i="1"/>
  <c r="W11" i="1"/>
  <c r="AA10" i="1"/>
  <c r="Z10" i="1"/>
  <c r="W10" i="1"/>
  <c r="E3" i="2" s="1"/>
  <c r="AA9" i="1"/>
  <c r="Z9" i="1"/>
  <c r="Y9" i="1"/>
  <c r="W9" i="1"/>
  <c r="D3" i="2" s="1"/>
  <c r="AA8" i="1"/>
  <c r="Z8" i="1"/>
  <c r="W8" i="1"/>
  <c r="C3" i="2" s="1"/>
  <c r="AA7" i="1"/>
  <c r="Z7" i="1"/>
  <c r="W7" i="1"/>
  <c r="AA6" i="1"/>
  <c r="Z6" i="1"/>
  <c r="Y6" i="1"/>
  <c r="W6" i="1"/>
  <c r="AA5" i="1"/>
  <c r="Z5" i="1"/>
  <c r="Y5" i="1"/>
  <c r="W5" i="1"/>
  <c r="AA4" i="1"/>
  <c r="Z4" i="1"/>
  <c r="W4" i="1"/>
  <c r="D2" i="2" s="1"/>
  <c r="AA3" i="1"/>
  <c r="Z3" i="1"/>
  <c r="W3" i="1"/>
  <c r="AA2" i="1"/>
  <c r="Z2" i="1"/>
  <c r="W2" i="1"/>
  <c r="B2" i="2" s="1"/>
  <c r="C4" i="2" l="1"/>
  <c r="C2" i="2"/>
  <c r="Y20" i="1"/>
  <c r="Y19" i="1"/>
  <c r="Y18" i="1"/>
  <c r="Y17" i="1"/>
  <c r="Y16" i="1"/>
  <c r="Y15" i="1"/>
  <c r="D4" i="2"/>
  <c r="Y13" i="1"/>
  <c r="Y12" i="1"/>
  <c r="Y10" i="1"/>
  <c r="Y8" i="1"/>
  <c r="Y7" i="1"/>
  <c r="F2" i="2"/>
  <c r="Y4" i="1"/>
  <c r="Y3" i="1"/>
  <c r="Y2" i="1"/>
  <c r="E2" i="2"/>
  <c r="Y11" i="1"/>
  <c r="F3" i="2"/>
  <c r="D5" i="2"/>
  <c r="B5" i="2"/>
  <c r="B3" i="2"/>
  <c r="F5" i="2"/>
  <c r="Y21" i="1"/>
</calcChain>
</file>

<file path=xl/sharedStrings.xml><?xml version="1.0" encoding="utf-8"?>
<sst xmlns="http://schemas.openxmlformats.org/spreadsheetml/2006/main" count="77" uniqueCount="36">
  <si>
    <t>Shift Regime</t>
  </si>
  <si>
    <t>Metric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</si>
  <si>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</si>
  <si>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</si>
  <si>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</si>
  <si>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</si>
  <si>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</si>
  <si>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</si>
  <si>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</si>
  <si>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</si>
  <si>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</si>
  <si>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</si>
  <si>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</si>
  <si>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</si>
  <si>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</si>
  <si>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</si>
  <si>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</si>
  <si>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</si>
  <si>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</si>
  <si>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</si>
  <si>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</si>
  <si>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</si>
  <si>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Mean</t>
  </si>
  <si>
    <t>SD</t>
  </si>
  <si>
    <t>CV (%)</t>
  </si>
  <si>
    <t>Min</t>
  </si>
  <si>
    <t>Max</t>
  </si>
  <si>
    <t>Q1</t>
  </si>
  <si>
    <t>MAE</t>
  </si>
  <si>
    <t>RMSE</t>
  </si>
  <si>
    <t>sMAPE (%)</t>
  </si>
  <si>
    <t>R2</t>
  </si>
  <si>
    <t>Shift Score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</si>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</sst>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workbookViewId="0">
      <pane xSplit="2" ySplit="1" topLeftCell="C2" activePane="bottomRight" state="frozen"/>
      <selection pane="topRight"/>
      <selection pane="bottomLeft"/>
      <selection pane="bottomRight" activeCell="AA20" sqref="AA20"/>
    </sheetView>
  </sheetViews>
  <sheetFormatPr defaultRowHeight="15" x14ac:dyDescent="0.25"/>
  <cols>
    <col min="1" max="2" width="16" customWidth="1"/>
    <col min="3" max="27" width="1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s="2">
        <v>0.53910000000000002</v>
      </c>
      <c r="D2" s="2">
        <v>0.52239999999999998</v>
      </c>
      <c r="E2" s="2">
        <v>0.56630000000000003</v>
      </c>
      <c r="F2" s="2">
        <v>0.5302</v>
      </c>
      <c r="G2" s="2">
        <v>0.55579999999999996</v>
      </c>
      <c r="H2" s="2">
        <v>0.54810000000000003</v>
      </c>
      <c r="I2" s="2">
        <v>0.55700000000000005</v>
      </c>
      <c r="J2" s="2">
        <v>0.57220000000000004</v>
      </c>
      <c r="K2" s="2">
        <v>0.53879999999999995</v>
      </c>
      <c r="L2" s="2">
        <v>0.54820000000000002</v>
      </c>
      <c r="M2" s="2">
        <v>0.5393</v>
      </c>
      <c r="N2" s="2">
        <v>0.56510000000000005</v>
      </c>
      <c r="O2" s="2">
        <v>0.57609999999999995</v>
      </c>
      <c r="P2" s="2">
        <v>0.55930000000000002</v>
      </c>
      <c r="Q2" s="2">
        <v>0.56950000000000001</v>
      </c>
      <c r="R2" s="2">
        <v>0.54700000000000004</v>
      </c>
      <c r="S2" s="2">
        <v>0.51880000000000004</v>
      </c>
      <c r="T2" s="2">
        <v>0.52090000000000003</v>
      </c>
      <c r="U2" s="2">
        <v>0.54600000000000004</v>
      </c>
      <c r="V2" s="2">
        <v>0.53849999999999998</v>
      </c>
      <c r="W2" s="2">
        <f t="shared" ref="W2:W21" si="0">AVERAGE(C2:V2)</f>
        <v>0.54793000000000003</v>
      </c>
      <c r="X2" s="2">
        <f>_xlfn.STDEV.S(C2:V2)</f>
        <v>1.7211260084148708E-2</v>
      </c>
      <c r="Y2" s="2">
        <f t="shared" ref="Y2:Y21" si="1">IFERROR(X2/ABS(W2)*100,"")</f>
        <v>3.1411421320513035</v>
      </c>
      <c r="Z2" s="2">
        <f t="shared" ref="Z2:Z21" si="2">MIN(C2:V2)</f>
        <v>0.51880000000000004</v>
      </c>
      <c r="AA2" s="2">
        <f t="shared" ref="AA2:AA21" si="3">MAX(C2:V2)</f>
        <v>0.57609999999999995</v>
      </c>
    </row>
    <row r="3" spans="1:27" x14ac:dyDescent="0.25">
      <c r="A3" t="s">
        <v>27</v>
      </c>
      <c r="B3" t="s">
        <v>29</v>
      </c>
      <c r="C3" s="2">
        <v>0.73050000000000004</v>
      </c>
      <c r="D3" s="2">
        <v>0.71660000000000001</v>
      </c>
      <c r="E3" s="2">
        <v>0.72219999999999995</v>
      </c>
      <c r="F3" s="2">
        <v>0.71619999999999995</v>
      </c>
      <c r="G3" s="2">
        <v>0.73150000000000004</v>
      </c>
      <c r="H3" s="2">
        <v>0.71150000000000002</v>
      </c>
      <c r="I3" s="2">
        <v>0.71460000000000001</v>
      </c>
      <c r="J3" s="2">
        <v>0.68369999999999997</v>
      </c>
      <c r="K3" s="2">
        <v>0.71299999999999997</v>
      </c>
      <c r="L3" s="2">
        <v>0.7329</v>
      </c>
      <c r="M3" s="2">
        <v>0.73640000000000005</v>
      </c>
      <c r="N3" s="2">
        <v>0.74399999999999999</v>
      </c>
      <c r="O3" s="2">
        <v>0.746</v>
      </c>
      <c r="P3" s="2">
        <v>0.76770000000000005</v>
      </c>
      <c r="Q3" s="2">
        <v>0.7651</v>
      </c>
      <c r="R3" s="2">
        <v>0.71940000000000004</v>
      </c>
      <c r="S3" s="2">
        <v>0.74139999999999995</v>
      </c>
      <c r="T3" s="2">
        <v>0.72360000000000002</v>
      </c>
      <c r="U3" s="2">
        <v>0.7137</v>
      </c>
      <c r="V3" s="2">
        <v>0.7339</v>
      </c>
      <c r="W3" s="2">
        <f t="shared" si="0"/>
        <v>0.72819500000000004</v>
      </c>
      <c r="X3" s="2">
        <f t="shared" ref="X3:X21" si="4">_xlfn.STDEV.S(C3:V3)</f>
        <v>1.9329728263398904E-2</v>
      </c>
      <c r="Y3" s="2">
        <f t="shared" si="1"/>
        <v>2.6544714346293099</v>
      </c>
      <c r="Z3" s="2">
        <f t="shared" si="2"/>
        <v>0.68369999999999997</v>
      </c>
      <c r="AA3" s="2">
        <f t="shared" si="3"/>
        <v>0.76770000000000005</v>
      </c>
    </row>
    <row r="4" spans="1:27" x14ac:dyDescent="0.25">
      <c r="A4" t="s">
        <v>27</v>
      </c>
      <c r="B4" t="s">
        <v>30</v>
      </c>
      <c r="C4" s="2">
        <v>4.5532000000000004</v>
      </c>
      <c r="D4" s="2">
        <v>4.5895999999999999</v>
      </c>
      <c r="E4" s="2">
        <v>4.6676000000000002</v>
      </c>
      <c r="F4" s="2">
        <v>4.6909000000000001</v>
      </c>
      <c r="G4" s="2">
        <v>4.6989999999999998</v>
      </c>
      <c r="H4" s="2">
        <v>4.806</v>
      </c>
      <c r="I4" s="2">
        <v>4.4036999999999997</v>
      </c>
      <c r="J4" s="2">
        <v>4.7145000000000001</v>
      </c>
      <c r="K4" s="2">
        <v>4.5041000000000002</v>
      </c>
      <c r="L4" s="2">
        <v>4.4739000000000004</v>
      </c>
      <c r="M4" s="2">
        <v>4.6904000000000003</v>
      </c>
      <c r="N4" s="2">
        <v>4.6599000000000004</v>
      </c>
      <c r="O4" s="2">
        <v>4.7854999999999999</v>
      </c>
      <c r="P4" s="2">
        <v>4.7005999999999997</v>
      </c>
      <c r="Q4" s="2">
        <v>4.5099</v>
      </c>
      <c r="R4" s="2">
        <v>4.6645000000000003</v>
      </c>
      <c r="S4" s="2">
        <v>4.6208</v>
      </c>
      <c r="T4" s="2">
        <v>4.7488999999999999</v>
      </c>
      <c r="U4" s="2">
        <v>4.4752000000000001</v>
      </c>
      <c r="V4" s="2">
        <v>4.8128000000000002</v>
      </c>
      <c r="W4" s="2">
        <f t="shared" si="0"/>
        <v>4.6385500000000004</v>
      </c>
      <c r="X4" s="2">
        <f t="shared" si="4"/>
        <v>0.11841489282225129</v>
      </c>
      <c r="Y4" s="2">
        <f t="shared" si="1"/>
        <v>2.5528428673238679</v>
      </c>
      <c r="Z4" s="2">
        <f t="shared" si="2"/>
        <v>4.4036999999999997</v>
      </c>
      <c r="AA4" s="2">
        <f t="shared" si="3"/>
        <v>4.8128000000000002</v>
      </c>
    </row>
    <row r="5" spans="1:27" x14ac:dyDescent="0.25">
      <c r="A5" t="s">
        <v>27</v>
      </c>
      <c r="B5" t="s">
        <v>31</v>
      </c>
      <c r="C5" s="2">
        <v>0.91080000000000005</v>
      </c>
      <c r="D5" s="2">
        <v>0.90349999999999997</v>
      </c>
      <c r="E5" s="2">
        <v>0.90439999999999998</v>
      </c>
      <c r="F5" s="2">
        <v>0.91039999999999999</v>
      </c>
      <c r="G5" s="2">
        <v>0.90700000000000003</v>
      </c>
      <c r="H5" s="2">
        <v>0.90910000000000002</v>
      </c>
      <c r="I5" s="2">
        <v>0.91110000000000002</v>
      </c>
      <c r="J5" s="2">
        <v>0.89970000000000006</v>
      </c>
      <c r="K5" s="2">
        <v>0.90680000000000005</v>
      </c>
      <c r="L5" s="2">
        <v>0.90780000000000005</v>
      </c>
      <c r="M5" s="2">
        <v>0.90100000000000002</v>
      </c>
      <c r="N5" s="2">
        <v>0.9022</v>
      </c>
      <c r="O5" s="2">
        <v>0.90380000000000005</v>
      </c>
      <c r="P5" s="2">
        <v>0.91159999999999997</v>
      </c>
      <c r="Q5" s="2">
        <v>0.90949999999999998</v>
      </c>
      <c r="R5" s="2">
        <v>0.90280000000000005</v>
      </c>
      <c r="S5" s="2">
        <v>0.90190000000000003</v>
      </c>
      <c r="T5" s="2">
        <v>0.90839999999999999</v>
      </c>
      <c r="U5" s="2">
        <v>0.90529999999999999</v>
      </c>
      <c r="V5" s="2">
        <v>0.90310000000000001</v>
      </c>
      <c r="W5" s="2">
        <f t="shared" si="0"/>
        <v>0.90600999999999987</v>
      </c>
      <c r="X5" s="2">
        <f t="shared" si="4"/>
        <v>3.706310408223413E-3</v>
      </c>
      <c r="Y5" s="2">
        <f t="shared" si="1"/>
        <v>0.40908051878273016</v>
      </c>
      <c r="Z5" s="2">
        <f t="shared" si="2"/>
        <v>0.89970000000000006</v>
      </c>
      <c r="AA5" s="2">
        <f t="shared" si="3"/>
        <v>0.91159999999999997</v>
      </c>
    </row>
    <row r="6" spans="1:27" x14ac:dyDescent="0.25">
      <c r="A6" t="s">
        <v>27</v>
      </c>
      <c r="B6" t="s">
        <v>32</v>
      </c>
      <c r="C6" s="2">
        <v>0.17269999999999999</v>
      </c>
      <c r="D6" s="2">
        <v>0.16869999999999999</v>
      </c>
      <c r="E6" s="2">
        <v>0.18079999999999999</v>
      </c>
      <c r="F6" s="2">
        <v>0.18629999999999999</v>
      </c>
      <c r="G6" s="2">
        <v>0.1777</v>
      </c>
      <c r="H6" s="2">
        <v>0.1547</v>
      </c>
      <c r="I6" s="2">
        <v>0.1671</v>
      </c>
      <c r="J6" s="2">
        <v>0.16450000000000001</v>
      </c>
      <c r="K6" s="2">
        <v>0.17199999999999999</v>
      </c>
      <c r="L6" s="2">
        <v>0.1673</v>
      </c>
      <c r="M6" s="2">
        <v>0.1741</v>
      </c>
      <c r="N6" s="2">
        <v>0.16139999999999999</v>
      </c>
      <c r="O6" s="2">
        <v>0.1812</v>
      </c>
      <c r="P6" s="2">
        <v>0.1903</v>
      </c>
      <c r="Q6" s="2">
        <v>0.18840000000000001</v>
      </c>
      <c r="R6" s="2">
        <v>0.17069999999999999</v>
      </c>
      <c r="S6" s="2">
        <v>0.17680000000000001</v>
      </c>
      <c r="T6" s="2">
        <v>0.18329999999999999</v>
      </c>
      <c r="U6" s="2">
        <v>0.17150000000000001</v>
      </c>
      <c r="V6" s="2">
        <v>0.1812</v>
      </c>
      <c r="W6" s="2">
        <f t="shared" si="0"/>
        <v>0.17453500000000002</v>
      </c>
      <c r="X6" s="2">
        <f t="shared" si="4"/>
        <v>9.2948358610687974E-3</v>
      </c>
      <c r="Y6" s="2">
        <f t="shared" si="1"/>
        <v>5.3254853531204605</v>
      </c>
      <c r="Z6" s="2">
        <f t="shared" si="2"/>
        <v>0.1547</v>
      </c>
      <c r="AA6" s="2">
        <f t="shared" si="3"/>
        <v>0.1903</v>
      </c>
    </row>
    <row r="7" spans="1:27" x14ac:dyDescent="0.25">
      <c r="A7" t="s">
        <v>33</v>
      </c>
      <c r="B7" t="s">
        <v>28</v>
      </c>
      <c r="C7" s="2">
        <v>0.61499999999999999</v>
      </c>
      <c r="D7" s="2">
        <v>0.61650000000000005</v>
      </c>
      <c r="E7" s="2">
        <v>0.62460000000000004</v>
      </c>
      <c r="F7" s="2">
        <v>0.58860000000000001</v>
      </c>
      <c r="G7" s="2">
        <v>0.62370000000000003</v>
      </c>
      <c r="H7" s="2">
        <v>0.61360000000000003</v>
      </c>
      <c r="I7" s="2">
        <v>0.59840000000000004</v>
      </c>
      <c r="J7" s="2">
        <v>0.63949999999999996</v>
      </c>
      <c r="K7" s="2">
        <v>0.62680000000000002</v>
      </c>
      <c r="L7" s="2">
        <v>0.63390000000000002</v>
      </c>
      <c r="M7" s="2">
        <v>0.627</v>
      </c>
      <c r="N7" s="2">
        <v>0.62370000000000003</v>
      </c>
      <c r="O7" s="2">
        <v>0.60629999999999995</v>
      </c>
      <c r="P7" s="2">
        <v>0.60119999999999996</v>
      </c>
      <c r="Q7" s="2">
        <v>0.60760000000000003</v>
      </c>
      <c r="R7" s="2">
        <v>0.59860000000000002</v>
      </c>
      <c r="S7" s="2">
        <v>0.61270000000000002</v>
      </c>
      <c r="T7" s="2">
        <v>0.60329999999999995</v>
      </c>
      <c r="U7" s="2">
        <v>0.63249999999999995</v>
      </c>
      <c r="V7" s="2">
        <v>0.6079</v>
      </c>
      <c r="W7" s="2">
        <f t="shared" si="0"/>
        <v>0.61507000000000001</v>
      </c>
      <c r="X7" s="2">
        <f t="shared" si="4"/>
        <v>1.3668176638878315E-2</v>
      </c>
      <c r="Y7" s="2">
        <f t="shared" si="1"/>
        <v>2.2222148111399216</v>
      </c>
      <c r="Z7" s="2">
        <f t="shared" si="2"/>
        <v>0.58860000000000001</v>
      </c>
      <c r="AA7" s="2">
        <f t="shared" si="3"/>
        <v>0.63949999999999996</v>
      </c>
    </row>
    <row r="8" spans="1:27" x14ac:dyDescent="0.25">
      <c r="A8" t="s">
        <v>33</v>
      </c>
      <c r="B8" t="s">
        <v>29</v>
      </c>
      <c r="C8" s="2">
        <v>0.82340000000000002</v>
      </c>
      <c r="D8" s="2">
        <v>0.8014</v>
      </c>
      <c r="E8" s="2">
        <v>0.85619999999999996</v>
      </c>
      <c r="F8" s="2">
        <v>0.82199999999999995</v>
      </c>
      <c r="G8" s="2">
        <v>0.82030000000000003</v>
      </c>
      <c r="H8" s="2">
        <v>0.82220000000000004</v>
      </c>
      <c r="I8" s="2">
        <v>0.81320000000000003</v>
      </c>
      <c r="J8" s="2">
        <v>0.82150000000000001</v>
      </c>
      <c r="K8" s="2">
        <v>0.83360000000000001</v>
      </c>
      <c r="L8" s="2">
        <v>0.81399999999999995</v>
      </c>
      <c r="M8" s="2">
        <v>0.81720000000000004</v>
      </c>
      <c r="N8" s="2">
        <v>0.81840000000000002</v>
      </c>
      <c r="O8" s="2">
        <v>0.80479999999999996</v>
      </c>
      <c r="P8" s="2">
        <v>0.79700000000000004</v>
      </c>
      <c r="Q8" s="2">
        <v>0.84089999999999998</v>
      </c>
      <c r="R8" s="2">
        <v>0.8024</v>
      </c>
      <c r="S8" s="2">
        <v>0.79859999999999998</v>
      </c>
      <c r="T8" s="2">
        <v>0.80610000000000004</v>
      </c>
      <c r="U8" s="2">
        <v>0.78280000000000005</v>
      </c>
      <c r="V8" s="2">
        <v>0.82689999999999997</v>
      </c>
      <c r="W8" s="2">
        <f t="shared" si="0"/>
        <v>0.81614500000000001</v>
      </c>
      <c r="X8" s="2">
        <f t="shared" si="4"/>
        <v>1.6620769346940897E-2</v>
      </c>
      <c r="Y8" s="2">
        <f t="shared" si="1"/>
        <v>2.0364971110453283</v>
      </c>
      <c r="Z8" s="2">
        <f t="shared" si="2"/>
        <v>0.78280000000000005</v>
      </c>
      <c r="AA8" s="2">
        <f t="shared" si="3"/>
        <v>0.85619999999999996</v>
      </c>
    </row>
    <row r="9" spans="1:27" x14ac:dyDescent="0.25">
      <c r="A9" t="s">
        <v>33</v>
      </c>
      <c r="B9" t="s">
        <v>30</v>
      </c>
      <c r="C9" s="2">
        <v>5.1412000000000004</v>
      </c>
      <c r="D9" s="2">
        <v>4.9561000000000002</v>
      </c>
      <c r="E9" s="2">
        <v>5.5282999999999998</v>
      </c>
      <c r="F9" s="2">
        <v>5.4253</v>
      </c>
      <c r="G9" s="2">
        <v>5.1428000000000003</v>
      </c>
      <c r="H9" s="2">
        <v>5.1139999999999999</v>
      </c>
      <c r="I9" s="2">
        <v>5.0548999999999999</v>
      </c>
      <c r="J9" s="2">
        <v>5.0111999999999997</v>
      </c>
      <c r="K9" s="2">
        <v>5.0332999999999997</v>
      </c>
      <c r="L9" s="2">
        <v>4.8449</v>
      </c>
      <c r="M9" s="2">
        <v>5.5277000000000003</v>
      </c>
      <c r="N9" s="2">
        <v>5.0401999999999996</v>
      </c>
      <c r="O9" s="2">
        <v>5.4919000000000002</v>
      </c>
      <c r="P9" s="2">
        <v>5.0639000000000003</v>
      </c>
      <c r="Q9" s="2">
        <v>5.1201999999999996</v>
      </c>
      <c r="R9" s="2">
        <v>5.2968999999999999</v>
      </c>
      <c r="S9" s="2">
        <v>5.1081000000000003</v>
      </c>
      <c r="T9" s="2">
        <v>5.4558999999999997</v>
      </c>
      <c r="U9" s="2">
        <v>5.0613999999999999</v>
      </c>
      <c r="V9" s="2">
        <v>5.5827</v>
      </c>
      <c r="W9" s="2">
        <f t="shared" si="0"/>
        <v>5.2000450000000011</v>
      </c>
      <c r="X9" s="2">
        <f t="shared" si="4"/>
        <v>0.22180447168146714</v>
      </c>
      <c r="Y9" s="2">
        <f t="shared" si="1"/>
        <v>4.2654336968519901</v>
      </c>
      <c r="Z9" s="2">
        <f t="shared" si="2"/>
        <v>4.8449</v>
      </c>
      <c r="AA9" s="2">
        <f t="shared" si="3"/>
        <v>5.5827</v>
      </c>
    </row>
    <row r="10" spans="1:27" x14ac:dyDescent="0.25">
      <c r="A10" t="s">
        <v>33</v>
      </c>
      <c r="B10" t="s">
        <v>31</v>
      </c>
      <c r="C10" s="2">
        <v>0.90380000000000005</v>
      </c>
      <c r="D10" s="2">
        <v>0.89539999999999997</v>
      </c>
      <c r="E10" s="2">
        <v>0.89670000000000005</v>
      </c>
      <c r="F10" s="2">
        <v>0.89470000000000005</v>
      </c>
      <c r="G10" s="2">
        <v>0.89929999999999999</v>
      </c>
      <c r="H10" s="2">
        <v>0.88990000000000002</v>
      </c>
      <c r="I10" s="2">
        <v>0.89890000000000003</v>
      </c>
      <c r="J10" s="2">
        <v>0.89090000000000003</v>
      </c>
      <c r="K10" s="2">
        <v>0.89739999999999998</v>
      </c>
      <c r="L10" s="2">
        <v>0.89249999999999996</v>
      </c>
      <c r="M10" s="2">
        <v>0.89529999999999998</v>
      </c>
      <c r="N10" s="2">
        <v>0.89770000000000005</v>
      </c>
      <c r="O10" s="2">
        <v>0.89239999999999997</v>
      </c>
      <c r="P10" s="2">
        <v>0.88700000000000001</v>
      </c>
      <c r="Q10" s="2">
        <v>0.89910000000000001</v>
      </c>
      <c r="R10" s="2">
        <v>0.89770000000000005</v>
      </c>
      <c r="S10" s="2">
        <v>0.89549999999999996</v>
      </c>
      <c r="T10" s="2">
        <v>0.89749999999999996</v>
      </c>
      <c r="U10" s="2">
        <v>0.90180000000000005</v>
      </c>
      <c r="V10" s="2">
        <v>0.8972</v>
      </c>
      <c r="W10" s="2">
        <f t="shared" si="0"/>
        <v>0.89603500000000036</v>
      </c>
      <c r="X10" s="2">
        <f t="shared" si="4"/>
        <v>4.0229963957229787E-3</v>
      </c>
      <c r="Y10" s="2">
        <f t="shared" si="1"/>
        <v>0.44897759526391012</v>
      </c>
      <c r="Z10" s="2">
        <f t="shared" si="2"/>
        <v>0.88700000000000001</v>
      </c>
      <c r="AA10" s="2">
        <f t="shared" si="3"/>
        <v>0.90380000000000005</v>
      </c>
    </row>
    <row r="11" spans="1:27" x14ac:dyDescent="0.25">
      <c r="A11" t="s">
        <v>33</v>
      </c>
      <c r="B11" t="s">
        <v>32</v>
      </c>
      <c r="C11" s="2">
        <v>0.19309999999999999</v>
      </c>
      <c r="D11" s="2">
        <v>0.1978</v>
      </c>
      <c r="E11" s="2">
        <v>0.186</v>
      </c>
      <c r="F11" s="2">
        <v>0.19020000000000001</v>
      </c>
      <c r="G11" s="2">
        <v>0.183</v>
      </c>
      <c r="H11" s="2">
        <v>0.1968</v>
      </c>
      <c r="I11" s="2">
        <v>0.17080000000000001</v>
      </c>
      <c r="J11" s="2">
        <v>0.19450000000000001</v>
      </c>
      <c r="K11" s="2">
        <v>0.1885</v>
      </c>
      <c r="L11" s="2">
        <v>0.1925</v>
      </c>
      <c r="M11" s="2">
        <v>0.19059999999999999</v>
      </c>
      <c r="N11" s="2">
        <v>0.2223</v>
      </c>
      <c r="O11" s="2">
        <v>0.17610000000000001</v>
      </c>
      <c r="P11" s="2">
        <v>0.19020000000000001</v>
      </c>
      <c r="Q11" s="2">
        <v>0.19089999999999999</v>
      </c>
      <c r="R11" s="2">
        <v>0.18210000000000001</v>
      </c>
      <c r="S11" s="2">
        <v>0.1774</v>
      </c>
      <c r="T11" s="2">
        <v>0.19220000000000001</v>
      </c>
      <c r="U11" s="2">
        <v>0.20549999999999999</v>
      </c>
      <c r="V11" s="2">
        <v>0.2006</v>
      </c>
      <c r="W11" s="2">
        <f t="shared" si="0"/>
        <v>0.191055</v>
      </c>
      <c r="X11" s="2">
        <f t="shared" si="4"/>
        <v>1.1176077600227895E-2</v>
      </c>
      <c r="Y11" s="2">
        <f t="shared" si="1"/>
        <v>5.8496650703870063</v>
      </c>
      <c r="Z11" s="2">
        <f t="shared" si="2"/>
        <v>0.17080000000000001</v>
      </c>
      <c r="AA11" s="2">
        <f t="shared" si="3"/>
        <v>0.2223</v>
      </c>
    </row>
    <row r="12" spans="1:27" x14ac:dyDescent="0.25">
      <c r="A12" t="s">
        <v>34</v>
      </c>
      <c r="B12" t="s">
        <v>28</v>
      </c>
      <c r="C12" s="2">
        <v>0.69650000000000001</v>
      </c>
      <c r="D12" s="2">
        <v>0.6996</v>
      </c>
      <c r="E12" s="2">
        <v>0.64829999999999999</v>
      </c>
      <c r="F12" s="2">
        <v>0.65969999999999995</v>
      </c>
      <c r="G12" s="2">
        <v>0.66639999999999999</v>
      </c>
      <c r="H12" s="2">
        <v>0.64580000000000004</v>
      </c>
      <c r="I12" s="2">
        <v>0.69210000000000005</v>
      </c>
      <c r="J12" s="2">
        <v>0.63580000000000003</v>
      </c>
      <c r="K12" s="2">
        <v>0.69669999999999999</v>
      </c>
      <c r="L12" s="2">
        <v>0.68969999999999998</v>
      </c>
      <c r="M12" s="2">
        <v>0.64500000000000002</v>
      </c>
      <c r="N12" s="2">
        <v>0.67379999999999995</v>
      </c>
      <c r="O12" s="2">
        <v>0.6946</v>
      </c>
      <c r="P12" s="2">
        <v>0.67430000000000001</v>
      </c>
      <c r="Q12" s="2">
        <v>0.67979999999999996</v>
      </c>
      <c r="R12" s="2">
        <v>0.66600000000000004</v>
      </c>
      <c r="S12" s="2">
        <v>0.65710000000000002</v>
      </c>
      <c r="T12" s="2">
        <v>0.69310000000000005</v>
      </c>
      <c r="U12" s="2">
        <v>0.67559999999999998</v>
      </c>
      <c r="V12" s="2">
        <v>0.63500000000000001</v>
      </c>
      <c r="W12" s="2">
        <f t="shared" si="0"/>
        <v>0.67124499999999998</v>
      </c>
      <c r="X12" s="2">
        <f t="shared" si="4"/>
        <v>2.1537640856978981E-2</v>
      </c>
      <c r="Y12" s="2">
        <f t="shared" si="1"/>
        <v>3.2086109925554727</v>
      </c>
      <c r="Z12" s="2">
        <f t="shared" si="2"/>
        <v>0.63500000000000001</v>
      </c>
      <c r="AA12" s="2">
        <f t="shared" si="3"/>
        <v>0.6996</v>
      </c>
    </row>
    <row r="13" spans="1:27" x14ac:dyDescent="0.25">
      <c r="A13" t="s">
        <v>34</v>
      </c>
      <c r="B13" t="s">
        <v>29</v>
      </c>
      <c r="C13" s="2">
        <v>0.91120000000000001</v>
      </c>
      <c r="D13" s="2">
        <v>0.88619999999999999</v>
      </c>
      <c r="E13" s="2">
        <v>0.8962</v>
      </c>
      <c r="F13" s="2">
        <v>0.88919999999999999</v>
      </c>
      <c r="G13" s="2">
        <v>0.8569</v>
      </c>
      <c r="H13" s="2">
        <v>0.89070000000000005</v>
      </c>
      <c r="I13" s="2">
        <v>0.88129999999999997</v>
      </c>
      <c r="J13" s="2">
        <v>0.89180000000000004</v>
      </c>
      <c r="K13" s="2">
        <v>0.86199999999999999</v>
      </c>
      <c r="L13" s="2">
        <v>0.84109999999999996</v>
      </c>
      <c r="M13" s="2">
        <v>0.86099999999999999</v>
      </c>
      <c r="N13" s="2">
        <v>0.93940000000000001</v>
      </c>
      <c r="O13" s="2">
        <v>0.86880000000000002</v>
      </c>
      <c r="P13" s="2">
        <v>0.94179999999999997</v>
      </c>
      <c r="Q13" s="2">
        <v>0.84189999999999998</v>
      </c>
      <c r="R13" s="2">
        <v>0.92749999999999999</v>
      </c>
      <c r="S13" s="2">
        <v>0.89370000000000005</v>
      </c>
      <c r="T13" s="2">
        <v>0.88519999999999999</v>
      </c>
      <c r="U13" s="2">
        <v>0.90849999999999997</v>
      </c>
      <c r="V13" s="2">
        <v>0.88670000000000004</v>
      </c>
      <c r="W13" s="2">
        <f t="shared" si="0"/>
        <v>0.88805500000000015</v>
      </c>
      <c r="X13" s="2">
        <f t="shared" si="4"/>
        <v>2.8378373437309066E-2</v>
      </c>
      <c r="Y13" s="2">
        <f t="shared" si="1"/>
        <v>3.1955648509730885</v>
      </c>
      <c r="Z13" s="2">
        <f t="shared" si="2"/>
        <v>0.84109999999999996</v>
      </c>
      <c r="AA13" s="2">
        <f t="shared" si="3"/>
        <v>0.94179999999999997</v>
      </c>
    </row>
    <row r="14" spans="1:27" x14ac:dyDescent="0.25">
      <c r="A14" t="s">
        <v>34</v>
      </c>
      <c r="B14" t="s">
        <v>30</v>
      </c>
      <c r="C14" s="2">
        <v>5.8512000000000004</v>
      </c>
      <c r="D14" s="2">
        <v>5.5282999999999998</v>
      </c>
      <c r="E14" s="2">
        <v>5.3936999999999999</v>
      </c>
      <c r="F14" s="2">
        <v>5.6844000000000001</v>
      </c>
      <c r="G14" s="2">
        <v>5.8278999999999996</v>
      </c>
      <c r="H14" s="2">
        <v>5.8446999999999996</v>
      </c>
      <c r="I14" s="2">
        <v>5.6180000000000003</v>
      </c>
      <c r="J14" s="2">
        <v>5.7320000000000002</v>
      </c>
      <c r="K14" s="2">
        <v>5.4786000000000001</v>
      </c>
      <c r="L14" s="2">
        <v>5.4984000000000002</v>
      </c>
      <c r="M14" s="2">
        <v>5.7356999999999996</v>
      </c>
      <c r="N14" s="2">
        <v>5.7306999999999997</v>
      </c>
      <c r="O14" s="2">
        <v>5.6273</v>
      </c>
      <c r="P14" s="2">
        <v>5.9404000000000003</v>
      </c>
      <c r="Q14" s="2">
        <v>5.6951000000000001</v>
      </c>
      <c r="R14" s="2">
        <v>5.3555000000000001</v>
      </c>
      <c r="S14" s="2">
        <v>5.7154999999999996</v>
      </c>
      <c r="T14" s="2">
        <v>5.6669</v>
      </c>
      <c r="U14" s="2">
        <v>5.8741000000000003</v>
      </c>
      <c r="V14" s="2">
        <v>5.4002999999999997</v>
      </c>
      <c r="W14" s="2">
        <f t="shared" si="0"/>
        <v>5.6599350000000008</v>
      </c>
      <c r="X14" s="2">
        <f t="shared" si="4"/>
        <v>0.17082951881920175</v>
      </c>
      <c r="Y14" s="2">
        <f t="shared" si="1"/>
        <v>3.0182240400146241</v>
      </c>
      <c r="Z14" s="2">
        <f t="shared" si="2"/>
        <v>5.3555000000000001</v>
      </c>
      <c r="AA14" s="2">
        <f t="shared" si="3"/>
        <v>5.9404000000000003</v>
      </c>
    </row>
    <row r="15" spans="1:27" x14ac:dyDescent="0.25">
      <c r="A15" t="s">
        <v>34</v>
      </c>
      <c r="B15" t="s">
        <v>31</v>
      </c>
      <c r="C15" s="2">
        <v>0.88780000000000003</v>
      </c>
      <c r="D15" s="2">
        <v>0.8921</v>
      </c>
      <c r="E15" s="2">
        <v>0.88949999999999996</v>
      </c>
      <c r="F15" s="2">
        <v>0.88319999999999999</v>
      </c>
      <c r="G15" s="2">
        <v>0.88419999999999999</v>
      </c>
      <c r="H15" s="2">
        <v>0.88339999999999996</v>
      </c>
      <c r="I15" s="2">
        <v>0.87960000000000005</v>
      </c>
      <c r="J15" s="2">
        <v>0.879</v>
      </c>
      <c r="K15" s="2">
        <v>0.89129999999999998</v>
      </c>
      <c r="L15" s="2">
        <v>0.88639999999999997</v>
      </c>
      <c r="M15" s="2">
        <v>0.89149999999999996</v>
      </c>
      <c r="N15" s="2">
        <v>0.88670000000000004</v>
      </c>
      <c r="O15" s="2">
        <v>0.87390000000000001</v>
      </c>
      <c r="P15" s="2">
        <v>0.89080000000000004</v>
      </c>
      <c r="Q15" s="2">
        <v>0.89119999999999999</v>
      </c>
      <c r="R15" s="2">
        <v>0.8861</v>
      </c>
      <c r="S15" s="2">
        <v>0.88980000000000004</v>
      </c>
      <c r="T15" s="2">
        <v>0.88439999999999996</v>
      </c>
      <c r="U15" s="2">
        <v>0.87849999999999995</v>
      </c>
      <c r="V15" s="2">
        <v>0.88929999999999998</v>
      </c>
      <c r="W15" s="2">
        <f t="shared" si="0"/>
        <v>0.88593499999999992</v>
      </c>
      <c r="X15" s="2">
        <f t="shared" si="4"/>
        <v>5.130125165191032E-3</v>
      </c>
      <c r="Y15" s="2">
        <f t="shared" si="1"/>
        <v>0.57906338108225008</v>
      </c>
      <c r="Z15" s="2">
        <f t="shared" si="2"/>
        <v>0.87390000000000001</v>
      </c>
      <c r="AA15" s="2">
        <f t="shared" si="3"/>
        <v>0.8921</v>
      </c>
    </row>
    <row r="16" spans="1:27" x14ac:dyDescent="0.25">
      <c r="A16" t="s">
        <v>34</v>
      </c>
      <c r="B16" t="s">
        <v>32</v>
      </c>
      <c r="C16" s="2">
        <v>0.2215</v>
      </c>
      <c r="D16" s="2">
        <v>0.21870000000000001</v>
      </c>
      <c r="E16" s="2">
        <v>0.22090000000000001</v>
      </c>
      <c r="F16" s="2">
        <v>0.2198</v>
      </c>
      <c r="G16" s="2">
        <v>0.2235</v>
      </c>
      <c r="H16" s="2">
        <v>0.23150000000000001</v>
      </c>
      <c r="I16" s="2">
        <v>0.2099</v>
      </c>
      <c r="J16" s="2">
        <v>0.223</v>
      </c>
      <c r="K16" s="2">
        <v>0.21759999999999999</v>
      </c>
      <c r="L16" s="2">
        <v>0.22439999999999999</v>
      </c>
      <c r="M16" s="2">
        <v>0.2266</v>
      </c>
      <c r="N16" s="2">
        <v>0.21779999999999999</v>
      </c>
      <c r="O16" s="2">
        <v>0.2339</v>
      </c>
      <c r="P16" s="2">
        <v>0.2072</v>
      </c>
      <c r="Q16" s="2">
        <v>0.214</v>
      </c>
      <c r="R16" s="2">
        <v>0.2097</v>
      </c>
      <c r="S16" s="2">
        <v>0.2051</v>
      </c>
      <c r="T16" s="2">
        <v>0.21640000000000001</v>
      </c>
      <c r="U16" s="2">
        <v>0.2213</v>
      </c>
      <c r="V16" s="2">
        <v>0.22559999999999999</v>
      </c>
      <c r="W16" s="2">
        <f t="shared" si="0"/>
        <v>0.21942</v>
      </c>
      <c r="X16" s="2">
        <f t="shared" si="4"/>
        <v>7.5889531904153821E-3</v>
      </c>
      <c r="Y16" s="2">
        <f t="shared" si="1"/>
        <v>3.4586424165597403</v>
      </c>
      <c r="Z16" s="2">
        <f t="shared" si="2"/>
        <v>0.2051</v>
      </c>
      <c r="AA16" s="2">
        <f t="shared" si="3"/>
        <v>0.2339</v>
      </c>
    </row>
    <row r="17" spans="1:27" x14ac:dyDescent="0.25">
      <c r="A17" t="s">
        <v>35</v>
      </c>
      <c r="B17" t="s">
        <v>28</v>
      </c>
      <c r="C17" s="2">
        <v>0.80449999999999999</v>
      </c>
      <c r="D17" s="2">
        <v>0.78159999999999996</v>
      </c>
      <c r="E17" s="2">
        <v>0.7298</v>
      </c>
      <c r="F17" s="2">
        <v>0.73080000000000001</v>
      </c>
      <c r="G17" s="2">
        <v>0.75649999999999995</v>
      </c>
      <c r="H17" s="2">
        <v>0.7651</v>
      </c>
      <c r="I17" s="2">
        <v>0.71599999999999997</v>
      </c>
      <c r="J17" s="2">
        <v>0.73780000000000001</v>
      </c>
      <c r="K17" s="2">
        <v>0.75139999999999996</v>
      </c>
      <c r="L17" s="2">
        <v>0.77690000000000003</v>
      </c>
      <c r="M17" s="2">
        <v>0.77759999999999996</v>
      </c>
      <c r="N17" s="2">
        <v>0.76629999999999998</v>
      </c>
      <c r="O17" s="2">
        <v>0.77300000000000002</v>
      </c>
      <c r="P17" s="2">
        <v>0.73560000000000003</v>
      </c>
      <c r="Q17" s="2">
        <v>0.71950000000000003</v>
      </c>
      <c r="R17" s="2">
        <v>0.79849999999999999</v>
      </c>
      <c r="S17" s="2">
        <v>0.7772</v>
      </c>
      <c r="T17" s="2">
        <v>0.74890000000000001</v>
      </c>
      <c r="U17" s="2">
        <v>0.74019999999999997</v>
      </c>
      <c r="V17" s="2">
        <v>0.73570000000000002</v>
      </c>
      <c r="W17" s="2">
        <f t="shared" si="0"/>
        <v>0.75614500000000007</v>
      </c>
      <c r="X17" s="2">
        <f t="shared" si="4"/>
        <v>2.5524837748852842E-2</v>
      </c>
      <c r="Y17" s="2">
        <f t="shared" si="1"/>
        <v>3.3756538426958902</v>
      </c>
      <c r="Z17" s="2">
        <f t="shared" si="2"/>
        <v>0.71599999999999997</v>
      </c>
      <c r="AA17" s="2">
        <f t="shared" si="3"/>
        <v>0.80449999999999999</v>
      </c>
    </row>
    <row r="18" spans="1:27" x14ac:dyDescent="0.25">
      <c r="A18" t="s">
        <v>35</v>
      </c>
      <c r="B18" t="s">
        <v>29</v>
      </c>
      <c r="C18" s="2">
        <v>1.0174000000000001</v>
      </c>
      <c r="D18" s="2">
        <v>0.9909</v>
      </c>
      <c r="E18" s="2">
        <v>1.0114000000000001</v>
      </c>
      <c r="F18" s="2">
        <v>1.026</v>
      </c>
      <c r="G18" s="2">
        <v>0.99270000000000003</v>
      </c>
      <c r="H18" s="2">
        <v>0.99780000000000002</v>
      </c>
      <c r="I18" s="2">
        <v>0.98570000000000002</v>
      </c>
      <c r="J18" s="2">
        <v>1.0104</v>
      </c>
      <c r="K18" s="2">
        <v>0.97199999999999998</v>
      </c>
      <c r="L18" s="2">
        <v>1.0167999999999999</v>
      </c>
      <c r="M18" s="2">
        <v>0.97099999999999997</v>
      </c>
      <c r="N18" s="2">
        <v>0.99870000000000003</v>
      </c>
      <c r="O18" s="2">
        <v>0.97989999999999999</v>
      </c>
      <c r="P18" s="2">
        <v>0.99380000000000002</v>
      </c>
      <c r="Q18" s="2">
        <v>1.0448999999999999</v>
      </c>
      <c r="R18" s="2">
        <v>1.0436000000000001</v>
      </c>
      <c r="S18" s="2">
        <v>0.9768</v>
      </c>
      <c r="T18" s="2">
        <v>1.0133000000000001</v>
      </c>
      <c r="U18" s="2">
        <v>0.99909999999999999</v>
      </c>
      <c r="V18" s="2">
        <v>0.94599999999999995</v>
      </c>
      <c r="W18" s="2">
        <f t="shared" si="0"/>
        <v>0.99941000000000013</v>
      </c>
      <c r="X18" s="2">
        <f t="shared" si="4"/>
        <v>2.4554598668874113E-2</v>
      </c>
      <c r="Y18" s="2">
        <f t="shared" si="1"/>
        <v>2.4569094434590522</v>
      </c>
      <c r="Z18" s="2">
        <f t="shared" si="2"/>
        <v>0.94599999999999995</v>
      </c>
      <c r="AA18" s="2">
        <f t="shared" si="3"/>
        <v>1.0448999999999999</v>
      </c>
    </row>
    <row r="19" spans="1:27" x14ac:dyDescent="0.25">
      <c r="A19" t="s">
        <v>35</v>
      </c>
      <c r="B19" t="s">
        <v>30</v>
      </c>
      <c r="C19" s="2">
        <v>6.375</v>
      </c>
      <c r="D19" s="2">
        <v>6.2107999999999999</v>
      </c>
      <c r="E19" s="2">
        <v>5.9801000000000002</v>
      </c>
      <c r="F19" s="2">
        <v>6.4497</v>
      </c>
      <c r="G19" s="2">
        <v>5.6677999999999997</v>
      </c>
      <c r="H19" s="2">
        <v>6.1315</v>
      </c>
      <c r="I19" s="2">
        <v>6.1454000000000004</v>
      </c>
      <c r="J19" s="2">
        <v>6.6173999999999999</v>
      </c>
      <c r="K19" s="2">
        <v>6.7076000000000002</v>
      </c>
      <c r="L19" s="2">
        <v>6.4486999999999997</v>
      </c>
      <c r="M19" s="2">
        <v>6.4786000000000001</v>
      </c>
      <c r="N19" s="2">
        <v>5.9526000000000003</v>
      </c>
      <c r="O19" s="2">
        <v>6.8955000000000002</v>
      </c>
      <c r="P19" s="2">
        <v>6.6266999999999996</v>
      </c>
      <c r="Q19" s="2">
        <v>6.2443</v>
      </c>
      <c r="R19" s="2">
        <v>6.2179000000000002</v>
      </c>
      <c r="S19" s="2">
        <v>6.3074000000000003</v>
      </c>
      <c r="T19" s="2">
        <v>6.2480000000000002</v>
      </c>
      <c r="U19" s="2">
        <v>6.3605999999999998</v>
      </c>
      <c r="V19" s="2">
        <v>6.3792</v>
      </c>
      <c r="W19" s="2">
        <f t="shared" si="0"/>
        <v>6.3222400000000007</v>
      </c>
      <c r="X19" s="2">
        <f t="shared" si="4"/>
        <v>0.28152613863874537</v>
      </c>
      <c r="Y19" s="2">
        <f t="shared" si="1"/>
        <v>4.4529492496131962</v>
      </c>
      <c r="Z19" s="2">
        <f t="shared" si="2"/>
        <v>5.6677999999999997</v>
      </c>
      <c r="AA19" s="2">
        <f t="shared" si="3"/>
        <v>6.8955000000000002</v>
      </c>
    </row>
    <row r="20" spans="1:27" x14ac:dyDescent="0.25">
      <c r="A20" t="s">
        <v>35</v>
      </c>
      <c r="B20" t="s">
        <v>31</v>
      </c>
      <c r="C20" s="2">
        <v>0.87360000000000004</v>
      </c>
      <c r="D20" s="2">
        <v>0.87050000000000005</v>
      </c>
      <c r="E20" s="2">
        <v>0.87029999999999996</v>
      </c>
      <c r="F20" s="2">
        <v>0.87180000000000002</v>
      </c>
      <c r="G20" s="2">
        <v>0.87109999999999999</v>
      </c>
      <c r="H20" s="2">
        <v>0.87360000000000004</v>
      </c>
      <c r="I20" s="2">
        <v>0.87039999999999995</v>
      </c>
      <c r="J20" s="2">
        <v>0.87329999999999997</v>
      </c>
      <c r="K20" s="2">
        <v>0.86550000000000005</v>
      </c>
      <c r="L20" s="2">
        <v>0.87849999999999995</v>
      </c>
      <c r="M20" s="2">
        <v>0.86899999999999999</v>
      </c>
      <c r="N20" s="2">
        <v>0.87790000000000001</v>
      </c>
      <c r="O20" s="2">
        <v>0.86760000000000004</v>
      </c>
      <c r="P20" s="2">
        <v>0.87609999999999999</v>
      </c>
      <c r="Q20" s="2">
        <v>0.87770000000000004</v>
      </c>
      <c r="R20" s="2">
        <v>0.86970000000000003</v>
      </c>
      <c r="S20" s="2">
        <v>0.87060000000000004</v>
      </c>
      <c r="T20" s="2">
        <v>0.87270000000000003</v>
      </c>
      <c r="U20" s="2">
        <v>0.87680000000000002</v>
      </c>
      <c r="V20" s="2">
        <v>0.86480000000000001</v>
      </c>
      <c r="W20" s="2">
        <f t="shared" si="0"/>
        <v>0.87207499999999993</v>
      </c>
      <c r="X20" s="2">
        <f t="shared" si="4"/>
        <v>3.9392592143567655E-3</v>
      </c>
      <c r="Y20" s="2">
        <f t="shared" si="1"/>
        <v>0.45171105860812039</v>
      </c>
      <c r="Z20" s="2">
        <f t="shared" si="2"/>
        <v>0.86480000000000001</v>
      </c>
      <c r="AA20" s="2">
        <f t="shared" si="3"/>
        <v>0.87849999999999995</v>
      </c>
    </row>
    <row r="21" spans="1:27" x14ac:dyDescent="0.25">
      <c r="A21" t="s">
        <v>35</v>
      </c>
      <c r="B21" t="s">
        <v>32</v>
      </c>
      <c r="C21" s="2">
        <v>0.26240000000000002</v>
      </c>
      <c r="D21" s="2">
        <v>0.23710000000000001</v>
      </c>
      <c r="E21" s="2">
        <v>0.254</v>
      </c>
      <c r="F21" s="2">
        <v>0.25879999999999997</v>
      </c>
      <c r="G21" s="2">
        <v>0.2641</v>
      </c>
      <c r="H21" s="2">
        <v>0.23760000000000001</v>
      </c>
      <c r="I21" s="2">
        <v>0.24229999999999999</v>
      </c>
      <c r="J21" s="2">
        <v>0.26669999999999999</v>
      </c>
      <c r="K21" s="2">
        <v>0.25030000000000002</v>
      </c>
      <c r="L21" s="2">
        <v>0.26269999999999999</v>
      </c>
      <c r="M21" s="2">
        <v>0.24329999999999999</v>
      </c>
      <c r="N21" s="2">
        <v>0.22770000000000001</v>
      </c>
      <c r="O21" s="2">
        <v>0.25190000000000001</v>
      </c>
      <c r="P21" s="2">
        <v>0.24829999999999999</v>
      </c>
      <c r="Q21" s="2">
        <v>0.25430000000000003</v>
      </c>
      <c r="R21" s="2">
        <v>0.2387</v>
      </c>
      <c r="S21" s="2">
        <v>0.25900000000000001</v>
      </c>
      <c r="T21" s="2">
        <v>0.25080000000000002</v>
      </c>
      <c r="U21" s="2">
        <v>0.245</v>
      </c>
      <c r="V21" s="2">
        <v>0.22720000000000001</v>
      </c>
      <c r="W21" s="2">
        <f t="shared" si="0"/>
        <v>0.24911000000000003</v>
      </c>
      <c r="X21" s="2">
        <f t="shared" si="4"/>
        <v>1.1633069921111693E-2</v>
      </c>
      <c r="Y21" s="2">
        <f t="shared" si="1"/>
        <v>4.6698526438568067</v>
      </c>
      <c r="Z21" s="2">
        <f t="shared" si="2"/>
        <v>0.22720000000000001</v>
      </c>
      <c r="AA21" s="2">
        <f t="shared" si="3"/>
        <v>0.26669999999999999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E16" sqref="E16"/>
    </sheetView>
  </sheetViews>
  <sheetFormatPr defaultRowHeight="15" x14ac:dyDescent="0.25"/>
  <cols>
    <col min="1" max="1" width="16" customWidth="1"/>
    <col min="2" max="6" width="20" customWidth="1"/>
  </cols>
  <sheetData>
    <row r="1" spans="1:6" x14ac:dyDescent="0.25">
      <c r="A1" s="3" t="s">
        <v>0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</row>
    <row r="2" spans="1:6" x14ac:dyDescent="0.25">
      <c r="A2" t="s">
        <v>27</v>
      </c>
      <c r="B2" t="str">
        <f>TEXT(Results_Table10!W2,"0.000")&amp;" ± "&amp;TEXT(Results_Table10!X2,"0.000")</f>
        <v>0.548 ± 0.017</v>
      </c>
      <c r="C2" t="str">
        <f>TEXT(Results_Table10!W3,"0.000")&amp;" ± "&amp;TEXT(Results_Table10!X3,"0.000")</f>
        <v>0.728 ± 0.019</v>
      </c>
      <c r="D2" t="str">
        <f>TEXT(Results_Table10!W4,"0.000")&amp;" ± "&amp;TEXT(Results_Table10!X4,"0.000")</f>
        <v>4.639 ± 0.118</v>
      </c>
      <c r="E2" t="str">
        <f>TEXT(Results_Table10!W5,"0.000")&amp;" ± "&amp;TEXT(Results_Table10!X5,"0.000")</f>
        <v>0.906 ± 0.004</v>
      </c>
      <c r="F2" t="str">
        <f>TEXT(Results_Table10!W6,"0.000")&amp;" ± "&amp;TEXT(Results_Table10!X6,"0.000")</f>
        <v>0.175 ± 0.009</v>
      </c>
    </row>
    <row r="3" spans="1:6" x14ac:dyDescent="0.25">
      <c r="A3" t="s">
        <v>33</v>
      </c>
      <c r="B3" t="str">
        <f>TEXT(Results_Table10!W7,"0.000")&amp;" ± "&amp;TEXT(Results_Table10!X7,"0.000")</f>
        <v>0.615 ± 0.014</v>
      </c>
      <c r="C3" t="str">
        <f>TEXT(Results_Table10!W8,"0.000")&amp;" ± "&amp;TEXT(Results_Table10!X8,"0.000")</f>
        <v>0.816 ± 0.017</v>
      </c>
      <c r="D3" t="str">
        <f>TEXT(Results_Table10!W9,"0.000")&amp;" ± "&amp;TEXT(Results_Table10!X9,"0.000")</f>
        <v>5.200 ± 0.222</v>
      </c>
      <c r="E3" t="str">
        <f>TEXT(Results_Table10!W10,"0.000")&amp;" ± "&amp;TEXT(Results_Table10!X10,"0.000")</f>
        <v>0.896 ± 0.004</v>
      </c>
      <c r="F3" t="str">
        <f>TEXT(Results_Table10!W11,"0.000")&amp;" ± "&amp;TEXT(Results_Table10!X11,"0.000")</f>
        <v>0.191 ± 0.011</v>
      </c>
    </row>
    <row r="4" spans="1:6" x14ac:dyDescent="0.25">
      <c r="A4" t="s">
        <v>34</v>
      </c>
      <c r="B4" t="str">
        <f>TEXT(Results_Table10!W12,"0.000")&amp;" ± "&amp;TEXT(Results_Table10!X12,"0.000")</f>
        <v>0.671 ± 0.022</v>
      </c>
      <c r="C4" t="str">
        <f>TEXT(Results_Table10!W13,"0.000")&amp;" ± "&amp;TEXT(Results_Table10!X13,"0.000")</f>
        <v>0.888 ± 0.028</v>
      </c>
      <c r="D4" t="str">
        <f>TEXT(Results_Table10!W14,"0.000")&amp;" ± "&amp;TEXT(Results_Table10!X14,"0.000")</f>
        <v>5.660 ± 0.171</v>
      </c>
      <c r="E4" t="str">
        <f>TEXT(Results_Table10!W15,"0.000")&amp;" ± "&amp;TEXT(Results_Table10!X15,"0.000")</f>
        <v>0.886 ± 0.005</v>
      </c>
      <c r="F4" t="str">
        <f>TEXT(Results_Table10!W16,"0.000")&amp;" ± "&amp;TEXT(Results_Table10!X16,"0.000")</f>
        <v>0.219 ± 0.008</v>
      </c>
    </row>
    <row r="5" spans="1:6" x14ac:dyDescent="0.25">
      <c r="A5" t="s">
        <v>35</v>
      </c>
      <c r="B5" t="str">
        <f>TEXT(Results_Table10!W17,"0.000")&amp;" ± "&amp;TEXT(Results_Table10!X17,"0.000")</f>
        <v>0.756 ± 0.026</v>
      </c>
      <c r="C5" t="str">
        <f>TEXT(Results_Table10!W18,"0.000")&amp;" ± "&amp;TEXT(Results_Table10!X18,"0.000")</f>
        <v>0.999 ± 0.025</v>
      </c>
      <c r="D5" t="str">
        <f>TEXT(Results_Table10!W19,"0.000")&amp;" ± "&amp;TEXT(Results_Table10!X19,"0.000")</f>
        <v>6.322 ± 0.282</v>
      </c>
      <c r="E5" t="str">
        <f>TEXT(Results_Table10!W20,"0.000")&amp;" ± "&amp;TEXT(Results_Table10!X20,"0.000")</f>
        <v>0.872 ± 0.004</v>
      </c>
      <c r="F5" t="str">
        <f>TEXT(Results_Table10!W21,"0.000")&amp;" ± "&amp;TEXT(Results_Table10!X21,"0.000")</f>
        <v>0.249 ± 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Results_Table10</vt:lpstr>
      <vt:lpstr>Table10_Summary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Inzamam Mashood Nasir</cp:lastModifiedBy>
  <dcterms:created xsi:type="dcterms:W3CDTF">2026-09-26T17:46:52Z</dcterms:created>
  <dcterms:modified xsi:type="dcterms:W3CDTF">2026-09-26T17:48:05Z</dcterms:modified>
</cp:coreProperties>
</file>