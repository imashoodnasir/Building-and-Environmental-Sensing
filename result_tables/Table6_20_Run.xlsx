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zam\Downloads\"/>
    </mc:Choice>
  </mc:AlternateContent>
  <xr:revisionPtr revIDLastSave="0" documentId="13_ncr:1_{2BB7EAA9-0909-4F7E-A1F9-C1DB220551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lts_Table6" sheetId="1" r:id="rId1"/>
    <sheet name="Table6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2" i="1"/>
  <c r="AA31" i="1"/>
  <c r="Z31" i="1"/>
  <c r="W31" i="1"/>
  <c r="G6" i="2" s="1"/>
  <c r="AA30" i="1"/>
  <c r="Z30" i="1"/>
  <c r="W30" i="1"/>
  <c r="AA29" i="1"/>
  <c r="Z29" i="1"/>
  <c r="W29" i="1"/>
  <c r="AA28" i="1"/>
  <c r="Z28" i="1"/>
  <c r="W28" i="1"/>
  <c r="D6" i="2" s="1"/>
  <c r="AA27" i="1"/>
  <c r="Z27" i="1"/>
  <c r="W27" i="1"/>
  <c r="AA26" i="1"/>
  <c r="Z26" i="1"/>
  <c r="Y26" i="1"/>
  <c r="W26" i="1"/>
  <c r="B6" i="2" s="1"/>
  <c r="AA25" i="1"/>
  <c r="Z25" i="1"/>
  <c r="Y25" i="1"/>
  <c r="W25" i="1"/>
  <c r="AA24" i="1"/>
  <c r="Z24" i="1"/>
  <c r="W24" i="1"/>
  <c r="F5" i="2" s="1"/>
  <c r="AA23" i="1"/>
  <c r="Z23" i="1"/>
  <c r="W23" i="1"/>
  <c r="E5" i="2" s="1"/>
  <c r="AA22" i="1"/>
  <c r="Z22" i="1"/>
  <c r="W22" i="1"/>
  <c r="AA21" i="1"/>
  <c r="Z21" i="1"/>
  <c r="Y21" i="1"/>
  <c r="W21" i="1"/>
  <c r="C5" i="2" s="1"/>
  <c r="AA20" i="1"/>
  <c r="Z20" i="1"/>
  <c r="W20" i="1"/>
  <c r="AA19" i="1"/>
  <c r="Z19" i="1"/>
  <c r="W19" i="1"/>
  <c r="AA18" i="1"/>
  <c r="Z18" i="1"/>
  <c r="W18" i="1"/>
  <c r="F4" i="2" s="1"/>
  <c r="AA17" i="1"/>
  <c r="Z17" i="1"/>
  <c r="W17" i="1"/>
  <c r="AA16" i="1"/>
  <c r="Z16" i="1"/>
  <c r="Y16" i="1"/>
  <c r="W16" i="1"/>
  <c r="AA15" i="1"/>
  <c r="Z15" i="1"/>
  <c r="Y15" i="1"/>
  <c r="W15" i="1"/>
  <c r="C4" i="2" s="1"/>
  <c r="AA14" i="1"/>
  <c r="Z14" i="1"/>
  <c r="Y14" i="1"/>
  <c r="W14" i="1"/>
  <c r="AA13" i="1"/>
  <c r="Z13" i="1"/>
  <c r="W13" i="1"/>
  <c r="G3" i="2" s="1"/>
  <c r="AA12" i="1"/>
  <c r="Z12" i="1"/>
  <c r="W12" i="1"/>
  <c r="AA11" i="1"/>
  <c r="Z11" i="1"/>
  <c r="W11" i="1"/>
  <c r="E3" i="2" s="1"/>
  <c r="AA10" i="1"/>
  <c r="Z10" i="1"/>
  <c r="Y10" i="1"/>
  <c r="W10" i="1"/>
  <c r="AA9" i="1"/>
  <c r="Z9" i="1"/>
  <c r="W9" i="1"/>
  <c r="AA8" i="1"/>
  <c r="Z8" i="1"/>
  <c r="Y8" i="1"/>
  <c r="W8" i="1"/>
  <c r="AA7" i="1"/>
  <c r="Z7" i="1"/>
  <c r="W7" i="1"/>
  <c r="G2" i="2" s="1"/>
  <c r="AA6" i="1"/>
  <c r="Z6" i="1"/>
  <c r="W6" i="1"/>
  <c r="AA5" i="1"/>
  <c r="Z5" i="1"/>
  <c r="Y5" i="1"/>
  <c r="W5" i="1"/>
  <c r="E2" i="2" s="1"/>
  <c r="AA4" i="1"/>
  <c r="Z4" i="1"/>
  <c r="W4" i="1"/>
  <c r="AA3" i="1"/>
  <c r="Z3" i="1"/>
  <c r="Y3" i="1"/>
  <c r="W3" i="1"/>
  <c r="C2" i="2" s="1"/>
  <c r="AA2" i="1"/>
  <c r="Z2" i="1"/>
  <c r="Y2" i="1"/>
  <c r="W2" i="1"/>
  <c r="B3" i="2" l="1"/>
  <c r="D2" i="2"/>
  <c r="F2" i="2"/>
  <c r="Y31" i="1"/>
  <c r="Y24" i="1"/>
  <c r="Y22" i="1"/>
  <c r="Y19" i="1"/>
  <c r="Y30" i="1"/>
  <c r="Y28" i="1"/>
  <c r="Y20" i="1"/>
  <c r="Y18" i="1"/>
  <c r="Y17" i="1"/>
  <c r="Y13" i="1"/>
  <c r="Y4" i="1"/>
  <c r="Y27" i="1"/>
  <c r="Y23" i="1"/>
  <c r="Y9" i="1"/>
  <c r="Y6" i="1"/>
  <c r="Y7" i="1"/>
  <c r="Y12" i="1"/>
  <c r="Y11" i="1"/>
  <c r="D5" i="2"/>
  <c r="F3" i="2"/>
  <c r="D4" i="2"/>
  <c r="G5" i="2"/>
  <c r="B4" i="2"/>
  <c r="C3" i="2"/>
  <c r="F6" i="2"/>
  <c r="G4" i="2"/>
  <c r="D3" i="2"/>
  <c r="C6" i="2"/>
  <c r="B5" i="2"/>
  <c r="E4" i="2"/>
  <c r="B2" i="2"/>
  <c r="E6" i="2"/>
  <c r="Y29" i="1"/>
</calcChain>
</file>

<file path=xl/sharedStrings.xml><?xml version="1.0" encoding="utf-8"?>
<sst xmlns="http://schemas.openxmlformats.org/spreadsheetml/2006/main" count="99" uniqueCount="38">
  <si>
    <t>Configuration</t>
  </si>
  <si>
    <t>Metric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</si>
  <si>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</si>
  <si>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</si>
  <si>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</si>
  <si>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</si>
  <si>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</si>
  <si>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</si>
  <si>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</si>
  <si>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</si>
  <si>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</si>
  <si>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</si>
  <si>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</si>
  <si>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</si>
  <si>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</si>
  <si>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</si>
  <si>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</si>
  <si>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</si>
  <si>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</si>
  <si>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</si>
  <si>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</si>
  <si>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</si>
  <si>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Mean</t>
  </si>
  <si>
    <t>SD</t>
  </si>
  <si>
    <t>CV (%)</t>
  </si>
  <si>
    <t>Min</t>
  </si>
  <si>
    <t>Max</t>
  </si>
  <si>
    <t>Full model</t>
  </si>
  <si>
    <t>MAE</t>
  </si>
  <si>
    <t>RMSE</t>
  </si>
  <si>
    <t>R2</t>
  </si>
  <si>
    <t>NLL</t>
  </si>
  <si>
    <t>Forget Delta</t>
  </si>
  <si>
    <t>PM2.5 MAE</t>
  </si>
  <si>
    <t>Without alignment loss</t>
  </si>
  <si>
    <t>Without separation loss</t>
  </si>
  <si>
    <t>Without replay loss</t>
  </si>
  <si>
    <t>Without shared-private decomposition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</si>
</sst>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D31" sqref="D31"/>
    </sheetView>
  </sheetViews>
  <sheetFormatPr defaultRowHeight="15" x14ac:dyDescent="0.25"/>
  <cols>
    <col min="1" max="1" width="38" customWidth="1"/>
    <col min="2" max="2" width="16" customWidth="1"/>
    <col min="3" max="27" width="1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s="2">
        <v>0.57179999999999997</v>
      </c>
      <c r="D2" s="2">
        <v>0.61019999999999996</v>
      </c>
      <c r="E2" s="2">
        <v>0.57020000000000004</v>
      </c>
      <c r="F2" s="2">
        <v>0.5736</v>
      </c>
      <c r="G2" s="2">
        <v>0.60629999999999995</v>
      </c>
      <c r="H2" s="2">
        <v>0.57369999999999999</v>
      </c>
      <c r="I2" s="2">
        <v>0.56159999999999999</v>
      </c>
      <c r="J2" s="2">
        <v>0.59440000000000004</v>
      </c>
      <c r="K2" s="2">
        <v>0.58479999999999999</v>
      </c>
      <c r="L2" s="2">
        <v>0.58430000000000004</v>
      </c>
      <c r="M2" s="2">
        <v>0.57799999999999996</v>
      </c>
      <c r="N2" s="2">
        <v>0.56720000000000004</v>
      </c>
      <c r="O2" s="2">
        <v>0.54990000000000006</v>
      </c>
      <c r="P2" s="2">
        <v>0.60570000000000002</v>
      </c>
      <c r="Q2" s="2">
        <v>0.57489999999999997</v>
      </c>
      <c r="R2" s="2">
        <v>0.58699999999999997</v>
      </c>
      <c r="S2" s="2">
        <v>0.59260000000000002</v>
      </c>
      <c r="T2" s="2">
        <v>0.57589999999999997</v>
      </c>
      <c r="U2" s="2">
        <v>0.55600000000000005</v>
      </c>
      <c r="V2" s="2">
        <v>0.54500000000000004</v>
      </c>
      <c r="W2" s="2">
        <f t="shared" ref="W2:W31" si="0">AVERAGE(C2:V2)</f>
        <v>0.57815499999999997</v>
      </c>
      <c r="X2" s="2">
        <f>_xlfn.STDEV.S(C2:V2)</f>
        <v>1.7995539652047681E-2</v>
      </c>
      <c r="Y2" s="2">
        <f t="shared" ref="Y2:Y31" si="1">IFERROR(X2/ABS(W2)*100,"")</f>
        <v>3.1125804761781324</v>
      </c>
      <c r="Z2" s="2">
        <f t="shared" ref="Z2:Z31" si="2">MIN(C2:V2)</f>
        <v>0.54500000000000004</v>
      </c>
      <c r="AA2" s="2">
        <f t="shared" ref="AA2:AA31" si="3">MAX(C2:V2)</f>
        <v>0.61019999999999996</v>
      </c>
    </row>
    <row r="3" spans="1:27" x14ac:dyDescent="0.25">
      <c r="A3" t="s">
        <v>27</v>
      </c>
      <c r="B3" t="s">
        <v>29</v>
      </c>
      <c r="C3" s="2">
        <v>0.73219999999999996</v>
      </c>
      <c r="D3" s="2">
        <v>0.77580000000000005</v>
      </c>
      <c r="E3" s="2">
        <v>0.74060000000000004</v>
      </c>
      <c r="F3" s="2">
        <v>0.75960000000000005</v>
      </c>
      <c r="G3" s="2">
        <v>0.76719999999999999</v>
      </c>
      <c r="H3" s="2">
        <v>0.76049999999999995</v>
      </c>
      <c r="I3" s="2">
        <v>0.76119999999999999</v>
      </c>
      <c r="J3" s="2">
        <v>0.79090000000000005</v>
      </c>
      <c r="K3" s="2">
        <v>0.79239999999999999</v>
      </c>
      <c r="L3" s="2">
        <v>0.80689999999999995</v>
      </c>
      <c r="M3" s="2">
        <v>0.73229999999999995</v>
      </c>
      <c r="N3" s="2">
        <v>0.73609999999999998</v>
      </c>
      <c r="O3" s="2">
        <v>0.77139999999999997</v>
      </c>
      <c r="P3" s="2">
        <v>0.78190000000000004</v>
      </c>
      <c r="Q3" s="2">
        <v>0.79049999999999998</v>
      </c>
      <c r="R3" s="2">
        <v>0.76619999999999999</v>
      </c>
      <c r="S3" s="2">
        <v>0.78449999999999998</v>
      </c>
      <c r="T3" s="2">
        <v>0.74280000000000002</v>
      </c>
      <c r="U3" s="2">
        <v>0.72950000000000004</v>
      </c>
      <c r="V3" s="2">
        <v>0.73099999999999998</v>
      </c>
      <c r="W3" s="2">
        <f t="shared" si="0"/>
        <v>0.76267499999999999</v>
      </c>
      <c r="X3" s="2">
        <f t="shared" ref="X3:X31" si="4">_xlfn.STDEV.S(C3:V3)</f>
        <v>2.4167940377807604E-2</v>
      </c>
      <c r="Y3" s="2">
        <f t="shared" si="1"/>
        <v>3.1688386767374834</v>
      </c>
      <c r="Z3" s="2">
        <f t="shared" si="2"/>
        <v>0.72950000000000004</v>
      </c>
      <c r="AA3" s="2">
        <f t="shared" si="3"/>
        <v>0.80689999999999995</v>
      </c>
    </row>
    <row r="4" spans="1:27" x14ac:dyDescent="0.25">
      <c r="A4" t="s">
        <v>27</v>
      </c>
      <c r="B4" t="s">
        <v>30</v>
      </c>
      <c r="C4" s="2">
        <v>0.89990000000000003</v>
      </c>
      <c r="D4" s="2">
        <v>0.9012</v>
      </c>
      <c r="E4" s="2">
        <v>0.90469999999999995</v>
      </c>
      <c r="F4" s="2">
        <v>0.9073</v>
      </c>
      <c r="G4" s="2">
        <v>0.90029999999999999</v>
      </c>
      <c r="H4" s="2">
        <v>0.90980000000000005</v>
      </c>
      <c r="I4" s="2">
        <v>0.89510000000000001</v>
      </c>
      <c r="J4" s="2">
        <v>0.90190000000000003</v>
      </c>
      <c r="K4" s="2">
        <v>0.9052</v>
      </c>
      <c r="L4" s="2">
        <v>0.89470000000000005</v>
      </c>
      <c r="M4" s="2">
        <v>0.90500000000000003</v>
      </c>
      <c r="N4" s="2">
        <v>0.90900000000000003</v>
      </c>
      <c r="O4" s="2">
        <v>0.91159999999999997</v>
      </c>
      <c r="P4" s="2">
        <v>0.89859999999999995</v>
      </c>
      <c r="Q4" s="2">
        <v>0.90349999999999997</v>
      </c>
      <c r="R4" s="2">
        <v>0.90639999999999998</v>
      </c>
      <c r="S4" s="2">
        <v>0.91269999999999996</v>
      </c>
      <c r="T4" s="2">
        <v>0.89339999999999997</v>
      </c>
      <c r="U4" s="2">
        <v>0.90469999999999995</v>
      </c>
      <c r="V4" s="2">
        <v>0.89610000000000001</v>
      </c>
      <c r="W4" s="2">
        <f t="shared" si="0"/>
        <v>0.90305499999999994</v>
      </c>
      <c r="X4" s="2">
        <f t="shared" si="4"/>
        <v>5.6518720699195576E-3</v>
      </c>
      <c r="Y4" s="2">
        <f t="shared" si="1"/>
        <v>0.6258613340183663</v>
      </c>
      <c r="Z4" s="2">
        <f t="shared" si="2"/>
        <v>0.89339999999999997</v>
      </c>
      <c r="AA4" s="2">
        <f t="shared" si="3"/>
        <v>0.91269999999999996</v>
      </c>
    </row>
    <row r="5" spans="1:27" x14ac:dyDescent="0.25">
      <c r="A5" t="s">
        <v>27</v>
      </c>
      <c r="B5" t="s">
        <v>31</v>
      </c>
      <c r="C5" s="2">
        <v>-0.11119999999999999</v>
      </c>
      <c r="D5" s="2">
        <v>-8.1600000000000006E-2</v>
      </c>
      <c r="E5" s="2">
        <v>-0.1177</v>
      </c>
      <c r="F5" s="2">
        <v>-0.1004</v>
      </c>
      <c r="G5" s="2">
        <v>-0.1246</v>
      </c>
      <c r="H5" s="2">
        <v>-0.1207</v>
      </c>
      <c r="I5" s="2">
        <v>-0.1069</v>
      </c>
      <c r="J5" s="2">
        <v>-0.1225</v>
      </c>
      <c r="K5" s="2">
        <v>-0.1032</v>
      </c>
      <c r="L5" s="2">
        <v>-0.12280000000000001</v>
      </c>
      <c r="M5" s="2">
        <v>-0.1037</v>
      </c>
      <c r="N5" s="2">
        <v>-0.1143</v>
      </c>
      <c r="O5" s="2">
        <v>-0.10539999999999999</v>
      </c>
      <c r="P5" s="2">
        <v>-9.35E-2</v>
      </c>
      <c r="Q5" s="2">
        <v>-0.13320000000000001</v>
      </c>
      <c r="R5" s="2">
        <v>-0.1032</v>
      </c>
      <c r="S5" s="2">
        <v>-0.1133</v>
      </c>
      <c r="T5" s="2">
        <v>-0.1081</v>
      </c>
      <c r="U5" s="2">
        <v>-0.1196</v>
      </c>
      <c r="V5" s="2">
        <v>-0.10440000000000001</v>
      </c>
      <c r="W5" s="2">
        <f t="shared" si="0"/>
        <v>-0.11051499999999999</v>
      </c>
      <c r="X5" s="2">
        <f t="shared" si="4"/>
        <v>1.1990841900120709E-2</v>
      </c>
      <c r="Y5" s="2">
        <f t="shared" si="1"/>
        <v>10.849967787287436</v>
      </c>
      <c r="Z5" s="2">
        <f t="shared" si="2"/>
        <v>-0.13320000000000001</v>
      </c>
      <c r="AA5" s="2">
        <f t="shared" si="3"/>
        <v>-8.1600000000000006E-2</v>
      </c>
    </row>
    <row r="6" spans="1:27" x14ac:dyDescent="0.25">
      <c r="A6" t="s">
        <v>27</v>
      </c>
      <c r="B6" t="s">
        <v>32</v>
      </c>
      <c r="C6" s="2">
        <v>3.8100000000000002E-2</v>
      </c>
      <c r="D6" s="2">
        <v>3.2599999999999997E-2</v>
      </c>
      <c r="E6" s="2">
        <v>3.5900000000000001E-2</v>
      </c>
      <c r="F6" s="2">
        <v>3.9300000000000002E-2</v>
      </c>
      <c r="G6" s="2">
        <v>3.3599999999999998E-2</v>
      </c>
      <c r="H6" s="2">
        <v>3.32E-2</v>
      </c>
      <c r="I6" s="2">
        <v>3.61E-2</v>
      </c>
      <c r="J6" s="2">
        <v>4.0899999999999999E-2</v>
      </c>
      <c r="K6" s="2">
        <v>4.2900000000000001E-2</v>
      </c>
      <c r="L6" s="2">
        <v>2.4299999999999999E-2</v>
      </c>
      <c r="M6" s="2">
        <v>3.6200000000000003E-2</v>
      </c>
      <c r="N6" s="2">
        <v>2.98E-2</v>
      </c>
      <c r="O6" s="2">
        <v>2.3400000000000001E-2</v>
      </c>
      <c r="P6" s="2">
        <v>3.32E-2</v>
      </c>
      <c r="Q6" s="2">
        <v>3.3399999999999999E-2</v>
      </c>
      <c r="R6" s="2">
        <v>3.2800000000000003E-2</v>
      </c>
      <c r="S6" s="2">
        <v>3.3099999999999997E-2</v>
      </c>
      <c r="T6" s="2">
        <v>3.2500000000000001E-2</v>
      </c>
      <c r="U6" s="2">
        <v>3.2500000000000001E-2</v>
      </c>
      <c r="V6" s="2">
        <v>3.6799999999999999E-2</v>
      </c>
      <c r="W6" s="2">
        <f t="shared" si="0"/>
        <v>3.4030000000000005E-2</v>
      </c>
      <c r="X6" s="2">
        <f t="shared" si="4"/>
        <v>4.7406528531083363E-3</v>
      </c>
      <c r="Y6" s="2">
        <f t="shared" si="1"/>
        <v>13.930804740253706</v>
      </c>
      <c r="Z6" s="2">
        <f t="shared" si="2"/>
        <v>2.3400000000000001E-2</v>
      </c>
      <c r="AA6" s="2">
        <f t="shared" si="3"/>
        <v>4.2900000000000001E-2</v>
      </c>
    </row>
    <row r="7" spans="1:27" x14ac:dyDescent="0.25">
      <c r="A7" t="s">
        <v>27</v>
      </c>
      <c r="B7" t="s">
        <v>33</v>
      </c>
      <c r="C7" s="2">
        <v>3.7515000000000001</v>
      </c>
      <c r="D7" s="2">
        <v>3.9134000000000002</v>
      </c>
      <c r="E7" s="2">
        <v>3.9167000000000001</v>
      </c>
      <c r="F7" s="2">
        <v>3.9371</v>
      </c>
      <c r="G7" s="2">
        <v>3.8374999999999999</v>
      </c>
      <c r="H7" s="2">
        <v>4.0232999999999999</v>
      </c>
      <c r="I7" s="2">
        <v>3.5036</v>
      </c>
      <c r="J7" s="2">
        <v>3.5392999999999999</v>
      </c>
      <c r="K7" s="2">
        <v>4.3624999999999998</v>
      </c>
      <c r="L7" s="2">
        <v>3.6701999999999999</v>
      </c>
      <c r="M7" s="2">
        <v>3.4586000000000001</v>
      </c>
      <c r="N7" s="2">
        <v>4.1867999999999999</v>
      </c>
      <c r="O7" s="2">
        <v>3.5840999999999998</v>
      </c>
      <c r="P7" s="2">
        <v>3.7025999999999999</v>
      </c>
      <c r="Q7" s="2">
        <v>3.9298000000000002</v>
      </c>
      <c r="R7" s="2">
        <v>4.4028999999999998</v>
      </c>
      <c r="S7" s="2">
        <v>4.1695000000000002</v>
      </c>
      <c r="T7" s="2">
        <v>3.5562</v>
      </c>
      <c r="U7" s="2">
        <v>3.2667000000000002</v>
      </c>
      <c r="V7" s="2">
        <v>4.077</v>
      </c>
      <c r="W7" s="2">
        <f t="shared" si="0"/>
        <v>3.8394649999999997</v>
      </c>
      <c r="X7" s="2">
        <f t="shared" si="4"/>
        <v>0.30920348141806653</v>
      </c>
      <c r="Y7" s="2">
        <f t="shared" si="1"/>
        <v>8.0532960039501997</v>
      </c>
      <c r="Z7" s="2">
        <f t="shared" si="2"/>
        <v>3.2667000000000002</v>
      </c>
      <c r="AA7" s="2">
        <f t="shared" si="3"/>
        <v>4.4028999999999998</v>
      </c>
    </row>
    <row r="8" spans="1:27" x14ac:dyDescent="0.25">
      <c r="A8" t="s">
        <v>34</v>
      </c>
      <c r="B8" t="s">
        <v>28</v>
      </c>
      <c r="C8" s="2">
        <v>0.78549999999999998</v>
      </c>
      <c r="D8" s="2">
        <v>0.80289999999999995</v>
      </c>
      <c r="E8" s="2">
        <v>0.87390000000000001</v>
      </c>
      <c r="F8" s="2">
        <v>0.7823</v>
      </c>
      <c r="G8" s="2">
        <v>0.7611</v>
      </c>
      <c r="H8" s="2">
        <v>0.81299999999999994</v>
      </c>
      <c r="I8" s="2">
        <v>0.80910000000000004</v>
      </c>
      <c r="J8" s="2">
        <v>0.81079999999999997</v>
      </c>
      <c r="K8" s="2">
        <v>0.82299999999999995</v>
      </c>
      <c r="L8" s="2">
        <v>0.87809999999999999</v>
      </c>
      <c r="M8" s="2">
        <v>0.81630000000000003</v>
      </c>
      <c r="N8" s="2">
        <v>0.86980000000000002</v>
      </c>
      <c r="O8" s="2">
        <v>0.84430000000000005</v>
      </c>
      <c r="P8" s="2">
        <v>0.81359999999999999</v>
      </c>
      <c r="Q8" s="2">
        <v>0.79339999999999999</v>
      </c>
      <c r="R8" s="2">
        <v>0.78359999999999996</v>
      </c>
      <c r="S8" s="2">
        <v>0.8427</v>
      </c>
      <c r="T8" s="2">
        <v>0.83409999999999995</v>
      </c>
      <c r="U8" s="2">
        <v>0.89239999999999997</v>
      </c>
      <c r="V8" s="2">
        <v>0.82809999999999995</v>
      </c>
      <c r="W8" s="2">
        <f t="shared" si="0"/>
        <v>0.82289999999999996</v>
      </c>
      <c r="X8" s="2">
        <f t="shared" si="4"/>
        <v>3.5486394724264625E-2</v>
      </c>
      <c r="Y8" s="2">
        <f t="shared" si="1"/>
        <v>4.3123580902010721</v>
      </c>
      <c r="Z8" s="2">
        <f t="shared" si="2"/>
        <v>0.7611</v>
      </c>
      <c r="AA8" s="2">
        <f t="shared" si="3"/>
        <v>0.89239999999999997</v>
      </c>
    </row>
    <row r="9" spans="1:27" x14ac:dyDescent="0.25">
      <c r="A9" t="s">
        <v>34</v>
      </c>
      <c r="B9" t="s">
        <v>29</v>
      </c>
      <c r="C9" s="2">
        <v>1.0137</v>
      </c>
      <c r="D9" s="2">
        <v>1.091</v>
      </c>
      <c r="E9" s="2">
        <v>1.0828</v>
      </c>
      <c r="F9" s="2">
        <v>1.1082000000000001</v>
      </c>
      <c r="G9" s="2">
        <v>1.1023000000000001</v>
      </c>
      <c r="H9" s="2">
        <v>1.1677999999999999</v>
      </c>
      <c r="I9" s="2">
        <v>1.0812999999999999</v>
      </c>
      <c r="J9" s="2">
        <v>1.1569</v>
      </c>
      <c r="K9" s="2">
        <v>1.0857000000000001</v>
      </c>
      <c r="L9" s="2">
        <v>1.0966</v>
      </c>
      <c r="M9" s="2">
        <v>1.0946</v>
      </c>
      <c r="N9" s="2">
        <v>1.1186</v>
      </c>
      <c r="O9" s="2">
        <v>1.0961000000000001</v>
      </c>
      <c r="P9" s="2">
        <v>1.0676000000000001</v>
      </c>
      <c r="Q9" s="2">
        <v>1.0354000000000001</v>
      </c>
      <c r="R9" s="2">
        <v>1.0918000000000001</v>
      </c>
      <c r="S9" s="2">
        <v>1.1248</v>
      </c>
      <c r="T9" s="2">
        <v>1.1205000000000001</v>
      </c>
      <c r="U9" s="2">
        <v>1.0921000000000001</v>
      </c>
      <c r="V9" s="2">
        <v>1.1315</v>
      </c>
      <c r="W9" s="2">
        <f t="shared" si="0"/>
        <v>1.0979649999999999</v>
      </c>
      <c r="X9" s="2">
        <f t="shared" si="4"/>
        <v>3.5529724768217127E-2</v>
      </c>
      <c r="Y9" s="2">
        <f t="shared" si="1"/>
        <v>3.235961507718109</v>
      </c>
      <c r="Z9" s="2">
        <f t="shared" si="2"/>
        <v>1.0137</v>
      </c>
      <c r="AA9" s="2">
        <f t="shared" si="3"/>
        <v>1.1677999999999999</v>
      </c>
    </row>
    <row r="10" spans="1:27" x14ac:dyDescent="0.25">
      <c r="A10" t="s">
        <v>34</v>
      </c>
      <c r="B10" t="s">
        <v>30</v>
      </c>
      <c r="C10" s="2">
        <v>0.86660000000000004</v>
      </c>
      <c r="D10" s="2">
        <v>0.85140000000000005</v>
      </c>
      <c r="E10" s="2">
        <v>0.86519999999999997</v>
      </c>
      <c r="F10" s="2">
        <v>0.85850000000000004</v>
      </c>
      <c r="G10" s="2">
        <v>0.85529999999999995</v>
      </c>
      <c r="H10" s="2">
        <v>0.86370000000000002</v>
      </c>
      <c r="I10" s="2">
        <v>0.85609999999999997</v>
      </c>
      <c r="J10" s="2">
        <v>0.85780000000000001</v>
      </c>
      <c r="K10" s="2">
        <v>0.8579</v>
      </c>
      <c r="L10" s="2">
        <v>0.86650000000000005</v>
      </c>
      <c r="M10" s="2">
        <v>0.86699999999999999</v>
      </c>
      <c r="N10" s="2">
        <v>0.86150000000000004</v>
      </c>
      <c r="O10" s="2">
        <v>0.87470000000000003</v>
      </c>
      <c r="P10" s="2">
        <v>0.8629</v>
      </c>
      <c r="Q10" s="2">
        <v>0.86370000000000002</v>
      </c>
      <c r="R10" s="2">
        <v>0.85429999999999995</v>
      </c>
      <c r="S10" s="2">
        <v>0.84989999999999999</v>
      </c>
      <c r="T10" s="2">
        <v>0.86580000000000001</v>
      </c>
      <c r="U10" s="2">
        <v>0.86219999999999997</v>
      </c>
      <c r="V10" s="2">
        <v>0.85660000000000003</v>
      </c>
      <c r="W10" s="2">
        <f t="shared" si="0"/>
        <v>0.86087999999999987</v>
      </c>
      <c r="X10" s="2">
        <f t="shared" si="4"/>
        <v>6.1034588985521901E-3</v>
      </c>
      <c r="Y10" s="2">
        <f t="shared" si="1"/>
        <v>0.70897905614629109</v>
      </c>
      <c r="Z10" s="2">
        <f t="shared" si="2"/>
        <v>0.84989999999999999</v>
      </c>
      <c r="AA10" s="2">
        <f t="shared" si="3"/>
        <v>0.87470000000000003</v>
      </c>
    </row>
    <row r="11" spans="1:27" x14ac:dyDescent="0.25">
      <c r="A11" t="s">
        <v>34</v>
      </c>
      <c r="B11" t="s">
        <v>31</v>
      </c>
      <c r="C11" s="2">
        <v>0.2445</v>
      </c>
      <c r="D11" s="2">
        <v>0.26989999999999997</v>
      </c>
      <c r="E11" s="2">
        <v>0.22359999999999999</v>
      </c>
      <c r="F11" s="2">
        <v>0.25419999999999998</v>
      </c>
      <c r="G11" s="2">
        <v>0.26340000000000002</v>
      </c>
      <c r="H11" s="2">
        <v>0.25090000000000001</v>
      </c>
      <c r="I11" s="2">
        <v>0.2117</v>
      </c>
      <c r="J11" s="2">
        <v>0.25390000000000001</v>
      </c>
      <c r="K11" s="2">
        <v>0.30299999999999999</v>
      </c>
      <c r="L11" s="2">
        <v>0.26219999999999999</v>
      </c>
      <c r="M11" s="2">
        <v>0.2515</v>
      </c>
      <c r="N11" s="2">
        <v>0.30420000000000003</v>
      </c>
      <c r="O11" s="2">
        <v>0.2356</v>
      </c>
      <c r="P11" s="2">
        <v>0.1983</v>
      </c>
      <c r="Q11" s="2">
        <v>0.24479999999999999</v>
      </c>
      <c r="R11" s="2">
        <v>0.2177</v>
      </c>
      <c r="S11" s="2">
        <v>0.25369999999999998</v>
      </c>
      <c r="T11" s="2">
        <v>0.22639999999999999</v>
      </c>
      <c r="U11" s="2">
        <v>0.22140000000000001</v>
      </c>
      <c r="V11" s="2">
        <v>0.2979</v>
      </c>
      <c r="W11" s="2">
        <f t="shared" si="0"/>
        <v>0.24944000000000002</v>
      </c>
      <c r="X11" s="2">
        <f t="shared" si="4"/>
        <v>2.9315334589686014E-2</v>
      </c>
      <c r="Y11" s="2">
        <f t="shared" si="1"/>
        <v>11.752459344806772</v>
      </c>
      <c r="Z11" s="2">
        <f t="shared" si="2"/>
        <v>0.1983</v>
      </c>
      <c r="AA11" s="2">
        <f t="shared" si="3"/>
        <v>0.30420000000000003</v>
      </c>
    </row>
    <row r="12" spans="1:27" x14ac:dyDescent="0.25">
      <c r="A12" t="s">
        <v>34</v>
      </c>
      <c r="B12" t="s">
        <v>32</v>
      </c>
      <c r="C12" s="2">
        <v>4.5199999999999997E-2</v>
      </c>
      <c r="D12" s="2">
        <v>4.2200000000000001E-2</v>
      </c>
      <c r="E12" s="2">
        <v>4.8899999999999999E-2</v>
      </c>
      <c r="F12" s="2">
        <v>0.04</v>
      </c>
      <c r="G12" s="2">
        <v>4.5199999999999997E-2</v>
      </c>
      <c r="H12" s="2">
        <v>5.3999999999999999E-2</v>
      </c>
      <c r="I12" s="2">
        <v>4.2200000000000001E-2</v>
      </c>
      <c r="J12" s="2">
        <v>4.5499999999999999E-2</v>
      </c>
      <c r="K12" s="2">
        <v>4.5600000000000002E-2</v>
      </c>
      <c r="L12" s="2">
        <v>3.4299999999999997E-2</v>
      </c>
      <c r="M12" s="2">
        <v>5.3199999999999997E-2</v>
      </c>
      <c r="N12" s="2">
        <v>4.6899999999999997E-2</v>
      </c>
      <c r="O12" s="2">
        <v>4.3400000000000001E-2</v>
      </c>
      <c r="P12" s="2">
        <v>6.1899999999999997E-2</v>
      </c>
      <c r="Q12" s="2">
        <v>5.3900000000000003E-2</v>
      </c>
      <c r="R12" s="2">
        <v>4.8099999999999997E-2</v>
      </c>
      <c r="S12" s="2">
        <v>3.73E-2</v>
      </c>
      <c r="T12" s="2">
        <v>4.7600000000000003E-2</v>
      </c>
      <c r="U12" s="2">
        <v>3.3300000000000003E-2</v>
      </c>
      <c r="V12" s="2">
        <v>5.5300000000000002E-2</v>
      </c>
      <c r="W12" s="2">
        <f t="shared" si="0"/>
        <v>4.6200000000000005E-2</v>
      </c>
      <c r="X12" s="2">
        <f t="shared" si="4"/>
        <v>7.1823614354523269E-3</v>
      </c>
      <c r="Y12" s="2">
        <f t="shared" si="1"/>
        <v>15.546236873273433</v>
      </c>
      <c r="Z12" s="2">
        <f t="shared" si="2"/>
        <v>3.3300000000000003E-2</v>
      </c>
      <c r="AA12" s="2">
        <f t="shared" si="3"/>
        <v>6.1899999999999997E-2</v>
      </c>
    </row>
    <row r="13" spans="1:27" x14ac:dyDescent="0.25">
      <c r="A13" t="s">
        <v>34</v>
      </c>
      <c r="B13" t="s">
        <v>33</v>
      </c>
      <c r="C13" s="2">
        <v>4.3856000000000002</v>
      </c>
      <c r="D13" s="2">
        <v>3.6044999999999998</v>
      </c>
      <c r="E13" s="2">
        <v>4.4248000000000003</v>
      </c>
      <c r="F13" s="2">
        <v>4.0888999999999998</v>
      </c>
      <c r="G13" s="2">
        <v>4.2134</v>
      </c>
      <c r="H13" s="2">
        <v>4.1741999999999999</v>
      </c>
      <c r="I13" s="2">
        <v>4.2192999999999996</v>
      </c>
      <c r="J13" s="2">
        <v>5.0738000000000003</v>
      </c>
      <c r="K13" s="2">
        <v>4.5594000000000001</v>
      </c>
      <c r="L13" s="2">
        <v>4.2770000000000001</v>
      </c>
      <c r="M13" s="2">
        <v>3.4876</v>
      </c>
      <c r="N13" s="2">
        <v>4.5831</v>
      </c>
      <c r="O13" s="2">
        <v>5.3669000000000002</v>
      </c>
      <c r="P13" s="2">
        <v>4.242</v>
      </c>
      <c r="Q13" s="2">
        <v>4.4371</v>
      </c>
      <c r="R13" s="2">
        <v>3.7326999999999999</v>
      </c>
      <c r="S13" s="2">
        <v>4.7412999999999998</v>
      </c>
      <c r="T13" s="2">
        <v>3.8738999999999999</v>
      </c>
      <c r="U13" s="2">
        <v>4.5846999999999998</v>
      </c>
      <c r="V13" s="2">
        <v>4.4054000000000002</v>
      </c>
      <c r="W13" s="2">
        <f t="shared" si="0"/>
        <v>4.3237799999999993</v>
      </c>
      <c r="X13" s="2">
        <f t="shared" si="4"/>
        <v>0.45463533171336062</v>
      </c>
      <c r="Y13" s="2">
        <f t="shared" si="1"/>
        <v>10.514765591990358</v>
      </c>
      <c r="Z13" s="2">
        <f t="shared" si="2"/>
        <v>3.4876</v>
      </c>
      <c r="AA13" s="2">
        <f t="shared" si="3"/>
        <v>5.3669000000000002</v>
      </c>
    </row>
    <row r="14" spans="1:27" x14ac:dyDescent="0.25">
      <c r="A14" t="s">
        <v>35</v>
      </c>
      <c r="B14" t="s">
        <v>28</v>
      </c>
      <c r="C14" s="2">
        <v>0.76219999999999999</v>
      </c>
      <c r="D14" s="2">
        <v>0.70109999999999995</v>
      </c>
      <c r="E14" s="2">
        <v>0.68500000000000005</v>
      </c>
      <c r="F14" s="2">
        <v>0.71319999999999995</v>
      </c>
      <c r="G14" s="2">
        <v>0.70320000000000005</v>
      </c>
      <c r="H14" s="2">
        <v>0.66400000000000003</v>
      </c>
      <c r="I14" s="2">
        <v>0.67730000000000001</v>
      </c>
      <c r="J14" s="2">
        <v>0.71489999999999998</v>
      </c>
      <c r="K14" s="2">
        <v>0.68930000000000002</v>
      </c>
      <c r="L14" s="2">
        <v>0.61280000000000001</v>
      </c>
      <c r="M14" s="2">
        <v>0.74129999999999996</v>
      </c>
      <c r="N14" s="2">
        <v>0.70660000000000001</v>
      </c>
      <c r="O14" s="2">
        <v>0.71379999999999999</v>
      </c>
      <c r="P14" s="2">
        <v>0.70620000000000005</v>
      </c>
      <c r="Q14" s="2">
        <v>0.71970000000000001</v>
      </c>
      <c r="R14" s="2">
        <v>0.6865</v>
      </c>
      <c r="S14" s="2">
        <v>0.6996</v>
      </c>
      <c r="T14" s="2">
        <v>0.66069999999999995</v>
      </c>
      <c r="U14" s="2">
        <v>0.73809999999999998</v>
      </c>
      <c r="V14" s="2">
        <v>0.71120000000000005</v>
      </c>
      <c r="W14" s="2">
        <f t="shared" si="0"/>
        <v>0.70033500000000015</v>
      </c>
      <c r="X14" s="2">
        <f t="shared" si="4"/>
        <v>3.219928529772377E-2</v>
      </c>
      <c r="Y14" s="2">
        <f t="shared" si="1"/>
        <v>4.5976975729791834</v>
      </c>
      <c r="Z14" s="2">
        <f t="shared" si="2"/>
        <v>0.61280000000000001</v>
      </c>
      <c r="AA14" s="2">
        <f t="shared" si="3"/>
        <v>0.76219999999999999</v>
      </c>
    </row>
    <row r="15" spans="1:27" x14ac:dyDescent="0.25">
      <c r="A15" t="s">
        <v>35</v>
      </c>
      <c r="B15" t="s">
        <v>29</v>
      </c>
      <c r="C15" s="2">
        <v>0.87890000000000001</v>
      </c>
      <c r="D15" s="2">
        <v>0.91410000000000002</v>
      </c>
      <c r="E15" s="2">
        <v>0.92859999999999998</v>
      </c>
      <c r="F15" s="2">
        <v>0.96089999999999998</v>
      </c>
      <c r="G15" s="2">
        <v>0.88870000000000005</v>
      </c>
      <c r="H15" s="2">
        <v>0.91820000000000002</v>
      </c>
      <c r="I15" s="2">
        <v>0.93420000000000003</v>
      </c>
      <c r="J15" s="2">
        <v>0.94820000000000004</v>
      </c>
      <c r="K15" s="2">
        <v>0.9466</v>
      </c>
      <c r="L15" s="2">
        <v>0.94720000000000004</v>
      </c>
      <c r="M15" s="2">
        <v>0.93030000000000002</v>
      </c>
      <c r="N15" s="2">
        <v>0.94550000000000001</v>
      </c>
      <c r="O15" s="2">
        <v>0.91200000000000003</v>
      </c>
      <c r="P15" s="2">
        <v>0.94120000000000004</v>
      </c>
      <c r="Q15" s="2">
        <v>0.86270000000000002</v>
      </c>
      <c r="R15" s="2">
        <v>0.95189999999999997</v>
      </c>
      <c r="S15" s="2">
        <v>0.94850000000000001</v>
      </c>
      <c r="T15" s="2">
        <v>0.9617</v>
      </c>
      <c r="U15" s="2">
        <v>0.93420000000000003</v>
      </c>
      <c r="V15" s="2">
        <v>0.90380000000000005</v>
      </c>
      <c r="W15" s="2">
        <f t="shared" si="0"/>
        <v>0.92787000000000008</v>
      </c>
      <c r="X15" s="2">
        <f t="shared" si="4"/>
        <v>2.7381478565282998E-2</v>
      </c>
      <c r="Y15" s="2">
        <f t="shared" si="1"/>
        <v>2.951003757561188</v>
      </c>
      <c r="Z15" s="2">
        <f t="shared" si="2"/>
        <v>0.86270000000000002</v>
      </c>
      <c r="AA15" s="2">
        <f t="shared" si="3"/>
        <v>0.9617</v>
      </c>
    </row>
    <row r="16" spans="1:27" x14ac:dyDescent="0.25">
      <c r="A16" t="s">
        <v>35</v>
      </c>
      <c r="B16" t="s">
        <v>30</v>
      </c>
      <c r="C16" s="2">
        <v>0.87980000000000003</v>
      </c>
      <c r="D16" s="2">
        <v>0.86750000000000005</v>
      </c>
      <c r="E16" s="2">
        <v>0.87760000000000005</v>
      </c>
      <c r="F16" s="2">
        <v>0.87180000000000002</v>
      </c>
      <c r="G16" s="2">
        <v>0.87280000000000002</v>
      </c>
      <c r="H16" s="2">
        <v>0.87419999999999998</v>
      </c>
      <c r="I16" s="2">
        <v>0.88719999999999999</v>
      </c>
      <c r="J16" s="2">
        <v>0.87590000000000001</v>
      </c>
      <c r="K16" s="2">
        <v>0.87739999999999996</v>
      </c>
      <c r="L16" s="2">
        <v>0.88080000000000003</v>
      </c>
      <c r="M16" s="2">
        <v>0.88129999999999997</v>
      </c>
      <c r="N16" s="2">
        <v>0.87890000000000001</v>
      </c>
      <c r="O16" s="2">
        <v>0.88890000000000002</v>
      </c>
      <c r="P16" s="2">
        <v>0.88449999999999995</v>
      </c>
      <c r="Q16" s="2">
        <v>0.87849999999999995</v>
      </c>
      <c r="R16" s="2">
        <v>0.87290000000000001</v>
      </c>
      <c r="S16" s="2">
        <v>0.88419999999999999</v>
      </c>
      <c r="T16" s="2">
        <v>0.88539999999999996</v>
      </c>
      <c r="U16" s="2">
        <v>0.88629999999999998</v>
      </c>
      <c r="V16" s="2">
        <v>0.87729999999999997</v>
      </c>
      <c r="W16" s="2">
        <f t="shared" si="0"/>
        <v>0.87915999999999994</v>
      </c>
      <c r="X16" s="2">
        <f t="shared" si="4"/>
        <v>5.7377237371810073E-3</v>
      </c>
      <c r="Y16" s="2">
        <f t="shared" si="1"/>
        <v>0.65263703275638196</v>
      </c>
      <c r="Z16" s="2">
        <f t="shared" si="2"/>
        <v>0.86750000000000005</v>
      </c>
      <c r="AA16" s="2">
        <f t="shared" si="3"/>
        <v>0.88890000000000002</v>
      </c>
    </row>
    <row r="17" spans="1:27" x14ac:dyDescent="0.25">
      <c r="A17" t="s">
        <v>35</v>
      </c>
      <c r="B17" t="s">
        <v>31</v>
      </c>
      <c r="C17" s="2">
        <v>9.69E-2</v>
      </c>
      <c r="D17" s="2">
        <v>8.0299999999999996E-2</v>
      </c>
      <c r="E17" s="2">
        <v>0.1145</v>
      </c>
      <c r="F17" s="2">
        <v>8.9099999999999999E-2</v>
      </c>
      <c r="G17" s="2">
        <v>6.7500000000000004E-2</v>
      </c>
      <c r="H17" s="2">
        <v>0.12820000000000001</v>
      </c>
      <c r="I17" s="2">
        <v>6.7500000000000004E-2</v>
      </c>
      <c r="J17" s="2">
        <v>6.5500000000000003E-2</v>
      </c>
      <c r="K17" s="2">
        <v>7.3899999999999993E-2</v>
      </c>
      <c r="L17" s="2">
        <v>0.1076</v>
      </c>
      <c r="M17" s="2">
        <v>0.10920000000000001</v>
      </c>
      <c r="N17" s="2">
        <v>9.2100000000000001E-2</v>
      </c>
      <c r="O17" s="2">
        <v>0.1053</v>
      </c>
      <c r="P17" s="2">
        <v>8.9399999999999993E-2</v>
      </c>
      <c r="Q17" s="2">
        <v>0.1065</v>
      </c>
      <c r="R17" s="2">
        <v>8.7999999999999995E-2</v>
      </c>
      <c r="S17" s="2">
        <v>0.1046</v>
      </c>
      <c r="T17" s="2">
        <v>8.5000000000000006E-2</v>
      </c>
      <c r="U17" s="2">
        <v>0.1002</v>
      </c>
      <c r="V17" s="2">
        <v>6.9800000000000001E-2</v>
      </c>
      <c r="W17" s="2">
        <f t="shared" si="0"/>
        <v>9.2055000000000012E-2</v>
      </c>
      <c r="X17" s="2">
        <f t="shared" si="4"/>
        <v>1.7671340907630131E-2</v>
      </c>
      <c r="Y17" s="2">
        <f t="shared" si="1"/>
        <v>19.196503077106218</v>
      </c>
      <c r="Z17" s="2">
        <f t="shared" si="2"/>
        <v>6.5500000000000003E-2</v>
      </c>
      <c r="AA17" s="2">
        <f t="shared" si="3"/>
        <v>0.12820000000000001</v>
      </c>
    </row>
    <row r="18" spans="1:27" x14ac:dyDescent="0.25">
      <c r="A18" t="s">
        <v>35</v>
      </c>
      <c r="B18" t="s">
        <v>32</v>
      </c>
      <c r="C18" s="2">
        <v>3.8800000000000001E-2</v>
      </c>
      <c r="D18" s="2">
        <v>4.3799999999999999E-2</v>
      </c>
      <c r="E18" s="2">
        <v>5.57E-2</v>
      </c>
      <c r="F18" s="2">
        <v>6.3200000000000006E-2</v>
      </c>
      <c r="G18" s="2">
        <v>0.05</v>
      </c>
      <c r="H18" s="2">
        <v>6.7100000000000007E-2</v>
      </c>
      <c r="I18" s="2">
        <v>4.5100000000000001E-2</v>
      </c>
      <c r="J18" s="2">
        <v>4.5699999999999998E-2</v>
      </c>
      <c r="K18" s="2">
        <v>3.73E-2</v>
      </c>
      <c r="L18" s="2">
        <v>5.16E-2</v>
      </c>
      <c r="M18" s="2">
        <v>5.1900000000000002E-2</v>
      </c>
      <c r="N18" s="2">
        <v>4.2000000000000003E-2</v>
      </c>
      <c r="O18" s="2">
        <v>5.6099999999999997E-2</v>
      </c>
      <c r="P18" s="2">
        <v>4.3099999999999999E-2</v>
      </c>
      <c r="Q18" s="2">
        <v>5.8999999999999997E-2</v>
      </c>
      <c r="R18" s="2">
        <v>4.7399999999999998E-2</v>
      </c>
      <c r="S18" s="2">
        <v>5.4399999999999997E-2</v>
      </c>
      <c r="T18" s="2">
        <v>4.1399999999999999E-2</v>
      </c>
      <c r="U18" s="2">
        <v>6.6199999999999995E-2</v>
      </c>
      <c r="V18" s="2">
        <v>5.7000000000000002E-2</v>
      </c>
      <c r="W18" s="2">
        <f t="shared" si="0"/>
        <v>5.084000000000001E-2</v>
      </c>
      <c r="X18" s="2">
        <f t="shared" si="4"/>
        <v>8.8858491878645515E-3</v>
      </c>
      <c r="Y18" s="2">
        <f t="shared" si="1"/>
        <v>17.47806685260533</v>
      </c>
      <c r="Z18" s="2">
        <f t="shared" si="2"/>
        <v>3.73E-2</v>
      </c>
      <c r="AA18" s="2">
        <f t="shared" si="3"/>
        <v>6.7100000000000007E-2</v>
      </c>
    </row>
    <row r="19" spans="1:27" x14ac:dyDescent="0.25">
      <c r="A19" t="s">
        <v>35</v>
      </c>
      <c r="B19" t="s">
        <v>33</v>
      </c>
      <c r="C19" s="2">
        <v>4.4477000000000002</v>
      </c>
      <c r="D19" s="2">
        <v>4.9884000000000004</v>
      </c>
      <c r="E19" s="2">
        <v>4.2160000000000002</v>
      </c>
      <c r="F19" s="2">
        <v>4.5198</v>
      </c>
      <c r="G19" s="2">
        <v>4.0948000000000002</v>
      </c>
      <c r="H19" s="2">
        <v>4.6509</v>
      </c>
      <c r="I19" s="2">
        <v>3.6004999999999998</v>
      </c>
      <c r="J19" s="2">
        <v>4.1116999999999999</v>
      </c>
      <c r="K19" s="2">
        <v>4.1993999999999998</v>
      </c>
      <c r="L19" s="2">
        <v>4.0683999999999996</v>
      </c>
      <c r="M19" s="2">
        <v>4.4288999999999996</v>
      </c>
      <c r="N19" s="2">
        <v>3.7147000000000001</v>
      </c>
      <c r="O19" s="2">
        <v>4.4672000000000001</v>
      </c>
      <c r="P19" s="2">
        <v>4.1227</v>
      </c>
      <c r="Q19" s="2">
        <v>3.9013</v>
      </c>
      <c r="R19" s="2">
        <v>3.9020000000000001</v>
      </c>
      <c r="S19" s="2">
        <v>3.7856999999999998</v>
      </c>
      <c r="T19" s="2">
        <v>4.0190999999999999</v>
      </c>
      <c r="U19" s="2">
        <v>4.2965999999999998</v>
      </c>
      <c r="V19" s="2">
        <v>4.6776999999999997</v>
      </c>
      <c r="W19" s="2">
        <f t="shared" si="0"/>
        <v>4.2106750000000002</v>
      </c>
      <c r="X19" s="2">
        <f t="shared" si="4"/>
        <v>0.35297822785846911</v>
      </c>
      <c r="Y19" s="2">
        <f t="shared" si="1"/>
        <v>8.3829368891797422</v>
      </c>
      <c r="Z19" s="2">
        <f t="shared" si="2"/>
        <v>3.6004999999999998</v>
      </c>
      <c r="AA19" s="2">
        <f t="shared" si="3"/>
        <v>4.9884000000000004</v>
      </c>
    </row>
    <row r="20" spans="1:27" x14ac:dyDescent="0.25">
      <c r="A20" t="s">
        <v>36</v>
      </c>
      <c r="B20" t="s">
        <v>28</v>
      </c>
      <c r="C20" s="2">
        <v>0.625</v>
      </c>
      <c r="D20" s="2">
        <v>0.59360000000000002</v>
      </c>
      <c r="E20" s="2">
        <v>0.64590000000000003</v>
      </c>
      <c r="F20" s="2">
        <v>0.60760000000000003</v>
      </c>
      <c r="G20" s="2">
        <v>0.57920000000000005</v>
      </c>
      <c r="H20" s="2">
        <v>0.62980000000000003</v>
      </c>
      <c r="I20" s="2">
        <v>0.64570000000000005</v>
      </c>
      <c r="J20" s="2">
        <v>0.64170000000000005</v>
      </c>
      <c r="K20" s="2">
        <v>0.65369999999999995</v>
      </c>
      <c r="L20" s="2">
        <v>0.63419999999999999</v>
      </c>
      <c r="M20" s="2">
        <v>0.63990000000000002</v>
      </c>
      <c r="N20" s="2">
        <v>0.63560000000000005</v>
      </c>
      <c r="O20" s="2">
        <v>0.64019999999999999</v>
      </c>
      <c r="P20" s="2">
        <v>0.63990000000000002</v>
      </c>
      <c r="Q20" s="2">
        <v>0.64259999999999995</v>
      </c>
      <c r="R20" s="2">
        <v>0.56879999999999997</v>
      </c>
      <c r="S20" s="2">
        <v>0.60350000000000004</v>
      </c>
      <c r="T20" s="2">
        <v>0.58760000000000001</v>
      </c>
      <c r="U20" s="2">
        <v>0.63959999999999995</v>
      </c>
      <c r="V20" s="2">
        <v>0.63519999999999999</v>
      </c>
      <c r="W20" s="2">
        <f t="shared" si="0"/>
        <v>0.62446500000000005</v>
      </c>
      <c r="X20" s="2">
        <f t="shared" si="4"/>
        <v>2.5015811315835298E-2</v>
      </c>
      <c r="Y20" s="2">
        <f t="shared" si="1"/>
        <v>4.0059589113617733</v>
      </c>
      <c r="Z20" s="2">
        <f t="shared" si="2"/>
        <v>0.56879999999999997</v>
      </c>
      <c r="AA20" s="2">
        <f t="shared" si="3"/>
        <v>0.65369999999999995</v>
      </c>
    </row>
    <row r="21" spans="1:27" x14ac:dyDescent="0.25">
      <c r="A21" t="s">
        <v>36</v>
      </c>
      <c r="B21" t="s">
        <v>29</v>
      </c>
      <c r="C21" s="2">
        <v>0.86899999999999999</v>
      </c>
      <c r="D21" s="2">
        <v>0.7913</v>
      </c>
      <c r="E21" s="2">
        <v>0.84399999999999997</v>
      </c>
      <c r="F21" s="2">
        <v>0.84719999999999995</v>
      </c>
      <c r="G21" s="2">
        <v>0.85070000000000001</v>
      </c>
      <c r="H21" s="2">
        <v>0.85819999999999996</v>
      </c>
      <c r="I21" s="2">
        <v>0.86170000000000002</v>
      </c>
      <c r="J21" s="2">
        <v>0.82709999999999995</v>
      </c>
      <c r="K21" s="2">
        <v>0.80569999999999997</v>
      </c>
      <c r="L21" s="2">
        <v>0.81679999999999997</v>
      </c>
      <c r="M21" s="2">
        <v>0.83240000000000003</v>
      </c>
      <c r="N21" s="2">
        <v>0.79020000000000001</v>
      </c>
      <c r="O21" s="2">
        <v>0.79239999999999999</v>
      </c>
      <c r="P21" s="2">
        <v>0.83479999999999999</v>
      </c>
      <c r="Q21" s="2">
        <v>0.82130000000000003</v>
      </c>
      <c r="R21" s="2">
        <v>0.83830000000000005</v>
      </c>
      <c r="S21" s="2">
        <v>0.83279999999999998</v>
      </c>
      <c r="T21" s="2">
        <v>0.86</v>
      </c>
      <c r="U21" s="2">
        <v>0.8397</v>
      </c>
      <c r="V21" s="2">
        <v>0.8226</v>
      </c>
      <c r="W21" s="2">
        <f t="shared" si="0"/>
        <v>0.83181000000000016</v>
      </c>
      <c r="X21" s="2">
        <f t="shared" si="4"/>
        <v>2.3702806851332584E-2</v>
      </c>
      <c r="Y21" s="2">
        <f t="shared" si="1"/>
        <v>2.8495457918674432</v>
      </c>
      <c r="Z21" s="2">
        <f t="shared" si="2"/>
        <v>0.79020000000000001</v>
      </c>
      <c r="AA21" s="2">
        <f t="shared" si="3"/>
        <v>0.86899999999999999</v>
      </c>
    </row>
    <row r="22" spans="1:27" x14ac:dyDescent="0.25">
      <c r="A22" t="s">
        <v>36</v>
      </c>
      <c r="B22" t="s">
        <v>30</v>
      </c>
      <c r="C22" s="2">
        <v>0.88990000000000002</v>
      </c>
      <c r="D22" s="2">
        <v>0.88600000000000001</v>
      </c>
      <c r="E22" s="2">
        <v>0.89229999999999998</v>
      </c>
      <c r="F22" s="2">
        <v>0.88790000000000002</v>
      </c>
      <c r="G22" s="2">
        <v>0.89229999999999998</v>
      </c>
      <c r="H22" s="2">
        <v>0.8891</v>
      </c>
      <c r="I22" s="2">
        <v>0.89580000000000004</v>
      </c>
      <c r="J22" s="2">
        <v>0.8861</v>
      </c>
      <c r="K22" s="2">
        <v>0.89019999999999999</v>
      </c>
      <c r="L22" s="2">
        <v>0.89810000000000001</v>
      </c>
      <c r="M22" s="2">
        <v>0.89159999999999995</v>
      </c>
      <c r="N22" s="2">
        <v>0.90739999999999998</v>
      </c>
      <c r="O22" s="2">
        <v>0.87939999999999996</v>
      </c>
      <c r="P22" s="2">
        <v>0.8931</v>
      </c>
      <c r="Q22" s="2">
        <v>0.88029999999999997</v>
      </c>
      <c r="R22" s="2">
        <v>0.88539999999999996</v>
      </c>
      <c r="S22" s="2">
        <v>0.8921</v>
      </c>
      <c r="T22" s="2">
        <v>0.90029999999999999</v>
      </c>
      <c r="U22" s="2">
        <v>0.89970000000000006</v>
      </c>
      <c r="V22" s="2">
        <v>0.88</v>
      </c>
      <c r="W22" s="2">
        <f t="shared" si="0"/>
        <v>0.89085000000000003</v>
      </c>
      <c r="X22" s="2">
        <f t="shared" si="4"/>
        <v>7.178146660084643E-3</v>
      </c>
      <c r="Y22" s="2">
        <f t="shared" si="1"/>
        <v>0.8057637829134694</v>
      </c>
      <c r="Z22" s="2">
        <f t="shared" si="2"/>
        <v>0.87939999999999996</v>
      </c>
      <c r="AA22" s="2">
        <f t="shared" si="3"/>
        <v>0.90739999999999998</v>
      </c>
    </row>
    <row r="23" spans="1:27" x14ac:dyDescent="0.25">
      <c r="A23" t="s">
        <v>36</v>
      </c>
      <c r="B23" t="s">
        <v>31</v>
      </c>
      <c r="C23" s="2">
        <v>-1.1599999999999999E-2</v>
      </c>
      <c r="D23" s="2">
        <v>-4.0000000000000001E-3</v>
      </c>
      <c r="E23" s="2">
        <v>-2.7300000000000001E-2</v>
      </c>
      <c r="F23" s="2">
        <v>-2.8899999999999999E-2</v>
      </c>
      <c r="G23" s="2">
        <v>-3.9699999999999999E-2</v>
      </c>
      <c r="H23" s="2">
        <v>-1.21E-2</v>
      </c>
      <c r="I23" s="2">
        <v>-6.4000000000000003E-3</v>
      </c>
      <c r="J23" s="2">
        <v>-3.3700000000000001E-2</v>
      </c>
      <c r="K23" s="2">
        <v>-2.1899999999999999E-2</v>
      </c>
      <c r="L23" s="2">
        <v>-2.0799999999999999E-2</v>
      </c>
      <c r="M23" s="2">
        <v>-1.47E-2</v>
      </c>
      <c r="N23" s="2">
        <v>-1.03E-2</v>
      </c>
      <c r="O23" s="2">
        <v>-3.1600000000000003E-2</v>
      </c>
      <c r="P23" s="2">
        <v>-1.6400000000000001E-2</v>
      </c>
      <c r="Q23" s="2">
        <v>-1.43E-2</v>
      </c>
      <c r="R23" s="2">
        <v>-1.5900000000000001E-2</v>
      </c>
      <c r="S23" s="2">
        <v>-2.7E-2</v>
      </c>
      <c r="T23" s="2">
        <v>2.2000000000000001E-3</v>
      </c>
      <c r="U23" s="2">
        <v>-2.5000000000000001E-3</v>
      </c>
      <c r="V23" s="2">
        <v>-2.4799999999999999E-2</v>
      </c>
      <c r="W23" s="2">
        <f t="shared" si="0"/>
        <v>-1.8085000000000004E-2</v>
      </c>
      <c r="X23" s="2">
        <f t="shared" si="4"/>
        <v>1.124662639475313E-2</v>
      </c>
      <c r="Y23" s="2">
        <f t="shared" si="1"/>
        <v>62.187594109776768</v>
      </c>
      <c r="Z23" s="2">
        <f t="shared" si="2"/>
        <v>-3.9699999999999999E-2</v>
      </c>
      <c r="AA23" s="2">
        <f t="shared" si="3"/>
        <v>2.2000000000000001E-3</v>
      </c>
    </row>
    <row r="24" spans="1:27" x14ac:dyDescent="0.25">
      <c r="A24" t="s">
        <v>36</v>
      </c>
      <c r="B24" t="s">
        <v>32</v>
      </c>
      <c r="C24" s="2">
        <v>0.19700000000000001</v>
      </c>
      <c r="D24" s="2">
        <v>0.1794</v>
      </c>
      <c r="E24" s="2">
        <v>0.17879999999999999</v>
      </c>
      <c r="F24" s="2">
        <v>0.1777</v>
      </c>
      <c r="G24" s="2">
        <v>0.1676</v>
      </c>
      <c r="H24" s="2">
        <v>0.20599999999999999</v>
      </c>
      <c r="I24" s="2">
        <v>0.22850000000000001</v>
      </c>
      <c r="J24" s="2">
        <v>0.15840000000000001</v>
      </c>
      <c r="K24" s="2">
        <v>0.17510000000000001</v>
      </c>
      <c r="L24" s="2">
        <v>0.16739999999999999</v>
      </c>
      <c r="M24" s="2">
        <v>0.1656</v>
      </c>
      <c r="N24" s="2">
        <v>0.17199999999999999</v>
      </c>
      <c r="O24" s="2">
        <v>0.20979999999999999</v>
      </c>
      <c r="P24" s="2">
        <v>0.15820000000000001</v>
      </c>
      <c r="Q24" s="2">
        <v>0.1696</v>
      </c>
      <c r="R24" s="2">
        <v>0.15859999999999999</v>
      </c>
      <c r="S24" s="2">
        <v>0.17510000000000001</v>
      </c>
      <c r="T24" s="2">
        <v>0.19670000000000001</v>
      </c>
      <c r="U24" s="2">
        <v>0.16259999999999999</v>
      </c>
      <c r="V24" s="2">
        <v>0.2039</v>
      </c>
      <c r="W24" s="2">
        <f t="shared" si="0"/>
        <v>0.18039999999999998</v>
      </c>
      <c r="X24" s="2">
        <f t="shared" si="4"/>
        <v>1.9870448833433772E-2</v>
      </c>
      <c r="Y24" s="2">
        <f t="shared" si="1"/>
        <v>11.01466121587238</v>
      </c>
      <c r="Z24" s="2">
        <f t="shared" si="2"/>
        <v>0.15820000000000001</v>
      </c>
      <c r="AA24" s="2">
        <f t="shared" si="3"/>
        <v>0.22850000000000001</v>
      </c>
    </row>
    <row r="25" spans="1:27" x14ac:dyDescent="0.25">
      <c r="A25" t="s">
        <v>36</v>
      </c>
      <c r="B25" t="s">
        <v>33</v>
      </c>
      <c r="C25" s="2">
        <v>3.9127999999999998</v>
      </c>
      <c r="D25" s="2">
        <v>4.0902000000000003</v>
      </c>
      <c r="E25" s="2">
        <v>4.2648000000000001</v>
      </c>
      <c r="F25" s="2">
        <v>3.6114000000000002</v>
      </c>
      <c r="G25" s="2">
        <v>3.5750999999999999</v>
      </c>
      <c r="H25" s="2">
        <v>3.7019000000000002</v>
      </c>
      <c r="I25" s="2">
        <v>3.2225999999999999</v>
      </c>
      <c r="J25" s="2">
        <v>4.0486000000000004</v>
      </c>
      <c r="K25" s="2">
        <v>3.1715</v>
      </c>
      <c r="L25" s="2">
        <v>3.4714</v>
      </c>
      <c r="M25" s="2">
        <v>3.5365000000000002</v>
      </c>
      <c r="N25" s="2">
        <v>3.7993000000000001</v>
      </c>
      <c r="O25" s="2">
        <v>3.6503999999999999</v>
      </c>
      <c r="P25" s="2">
        <v>4.3627000000000002</v>
      </c>
      <c r="Q25" s="2">
        <v>3.8262999999999998</v>
      </c>
      <c r="R25" s="2">
        <v>4.0965999999999996</v>
      </c>
      <c r="S25" s="2">
        <v>4.3658999999999999</v>
      </c>
      <c r="T25" s="2">
        <v>3.3652000000000002</v>
      </c>
      <c r="U25" s="2">
        <v>3.5413000000000001</v>
      </c>
      <c r="V25" s="2">
        <v>4.4146000000000001</v>
      </c>
      <c r="W25" s="2">
        <f t="shared" si="0"/>
        <v>3.8014550000000016</v>
      </c>
      <c r="X25" s="2">
        <f t="shared" si="4"/>
        <v>0.38099269432835453</v>
      </c>
      <c r="Y25" s="2">
        <f t="shared" si="1"/>
        <v>10.022286054375346</v>
      </c>
      <c r="Z25" s="2">
        <f t="shared" si="2"/>
        <v>3.1715</v>
      </c>
      <c r="AA25" s="2">
        <f t="shared" si="3"/>
        <v>4.4146000000000001</v>
      </c>
    </row>
    <row r="26" spans="1:27" x14ac:dyDescent="0.25">
      <c r="A26" t="s">
        <v>37</v>
      </c>
      <c r="B26" t="s">
        <v>28</v>
      </c>
      <c r="C26" s="2">
        <v>0.78290000000000004</v>
      </c>
      <c r="D26" s="2">
        <v>0.73180000000000001</v>
      </c>
      <c r="E26" s="2">
        <v>0.7802</v>
      </c>
      <c r="F26" s="2">
        <v>0.67269999999999996</v>
      </c>
      <c r="G26" s="2">
        <v>0.76429999999999998</v>
      </c>
      <c r="H26" s="2">
        <v>0.73599999999999999</v>
      </c>
      <c r="I26" s="2">
        <v>0.76039999999999996</v>
      </c>
      <c r="J26" s="2">
        <v>0.73799999999999999</v>
      </c>
      <c r="K26" s="2">
        <v>0.79749999999999999</v>
      </c>
      <c r="L26" s="2">
        <v>0.70660000000000001</v>
      </c>
      <c r="M26" s="2">
        <v>0.78480000000000005</v>
      </c>
      <c r="N26" s="2">
        <v>0.74070000000000003</v>
      </c>
      <c r="O26" s="2">
        <v>0.70830000000000004</v>
      </c>
      <c r="P26" s="2">
        <v>0.79090000000000005</v>
      </c>
      <c r="Q26" s="2">
        <v>0.78569999999999995</v>
      </c>
      <c r="R26" s="2">
        <v>0.75919999999999999</v>
      </c>
      <c r="S26" s="2">
        <v>0.74850000000000005</v>
      </c>
      <c r="T26" s="2">
        <v>0.75519999999999998</v>
      </c>
      <c r="U26" s="2">
        <v>0.73140000000000005</v>
      </c>
      <c r="V26" s="2">
        <v>0.79590000000000005</v>
      </c>
      <c r="W26" s="2">
        <f t="shared" si="0"/>
        <v>0.75355000000000005</v>
      </c>
      <c r="X26" s="2">
        <f t="shared" si="4"/>
        <v>3.355420594861553E-2</v>
      </c>
      <c r="Y26" s="2">
        <f t="shared" si="1"/>
        <v>4.4528174571847297</v>
      </c>
      <c r="Z26" s="2">
        <f t="shared" si="2"/>
        <v>0.67269999999999996</v>
      </c>
      <c r="AA26" s="2">
        <f t="shared" si="3"/>
        <v>0.79749999999999999</v>
      </c>
    </row>
    <row r="27" spans="1:27" x14ac:dyDescent="0.25">
      <c r="A27" t="s">
        <v>37</v>
      </c>
      <c r="B27" t="s">
        <v>29</v>
      </c>
      <c r="C27" s="2">
        <v>1.0451999999999999</v>
      </c>
      <c r="D27" s="2">
        <v>1.0502</v>
      </c>
      <c r="E27" s="2">
        <v>0.98570000000000002</v>
      </c>
      <c r="F27" s="2">
        <v>0.98429999999999995</v>
      </c>
      <c r="G27" s="2">
        <v>1.0325</v>
      </c>
      <c r="H27" s="2">
        <v>1.0974999999999999</v>
      </c>
      <c r="I27" s="2">
        <v>0.98799999999999999</v>
      </c>
      <c r="J27" s="2">
        <v>1.0016</v>
      </c>
      <c r="K27" s="2">
        <v>1.0018</v>
      </c>
      <c r="L27" s="2">
        <v>0.96150000000000002</v>
      </c>
      <c r="M27" s="2">
        <v>0.97260000000000002</v>
      </c>
      <c r="N27" s="2">
        <v>0.98099999999999998</v>
      </c>
      <c r="O27" s="2">
        <v>0.95379999999999998</v>
      </c>
      <c r="P27" s="2">
        <v>0.89470000000000005</v>
      </c>
      <c r="Q27" s="2">
        <v>1.0288999999999999</v>
      </c>
      <c r="R27" s="2">
        <v>1.1227</v>
      </c>
      <c r="S27" s="2">
        <v>0.94879999999999998</v>
      </c>
      <c r="T27" s="2">
        <v>1.0109999999999999</v>
      </c>
      <c r="U27" s="2">
        <v>0.92869999999999997</v>
      </c>
      <c r="V27" s="2">
        <v>1.0549999999999999</v>
      </c>
      <c r="W27" s="2">
        <f t="shared" si="0"/>
        <v>1.0022749999999996</v>
      </c>
      <c r="X27" s="2">
        <f t="shared" si="4"/>
        <v>5.5336776340779673E-2</v>
      </c>
      <c r="Y27" s="2">
        <f t="shared" si="1"/>
        <v>5.5211170926920952</v>
      </c>
      <c r="Z27" s="2">
        <f t="shared" si="2"/>
        <v>0.89470000000000005</v>
      </c>
      <c r="AA27" s="2">
        <f t="shared" si="3"/>
        <v>1.1227</v>
      </c>
    </row>
    <row r="28" spans="1:27" x14ac:dyDescent="0.25">
      <c r="A28" t="s">
        <v>37</v>
      </c>
      <c r="B28" t="s">
        <v>30</v>
      </c>
      <c r="C28" s="2">
        <v>0.86780000000000002</v>
      </c>
      <c r="D28" s="2">
        <v>0.88070000000000004</v>
      </c>
      <c r="E28" s="2">
        <v>0.87290000000000001</v>
      </c>
      <c r="F28" s="2">
        <v>0.8679</v>
      </c>
      <c r="G28" s="2">
        <v>0.85670000000000002</v>
      </c>
      <c r="H28" s="2">
        <v>0.85609999999999997</v>
      </c>
      <c r="I28" s="2">
        <v>0.84909999999999997</v>
      </c>
      <c r="J28" s="2">
        <v>0.88759999999999994</v>
      </c>
      <c r="K28" s="2">
        <v>0.87319999999999998</v>
      </c>
      <c r="L28" s="2">
        <v>0.87509999999999999</v>
      </c>
      <c r="M28" s="2">
        <v>0.88670000000000004</v>
      </c>
      <c r="N28" s="2">
        <v>0.88149999999999995</v>
      </c>
      <c r="O28" s="2">
        <v>0.87649999999999995</v>
      </c>
      <c r="P28" s="2">
        <v>0.88480000000000003</v>
      </c>
      <c r="Q28" s="2">
        <v>0.85640000000000005</v>
      </c>
      <c r="R28" s="2">
        <v>0.87170000000000003</v>
      </c>
      <c r="S28" s="2">
        <v>0.87690000000000001</v>
      </c>
      <c r="T28" s="2">
        <v>0.87639999999999996</v>
      </c>
      <c r="U28" s="2">
        <v>0.87229999999999996</v>
      </c>
      <c r="V28" s="2">
        <v>0.87190000000000001</v>
      </c>
      <c r="W28" s="2">
        <f t="shared" si="0"/>
        <v>0.87210999999999994</v>
      </c>
      <c r="X28" s="2">
        <f t="shared" si="4"/>
        <v>1.0646912080134092E-2</v>
      </c>
      <c r="Y28" s="2">
        <f t="shared" si="1"/>
        <v>1.2208221531841272</v>
      </c>
      <c r="Z28" s="2">
        <f t="shared" si="2"/>
        <v>0.84909999999999997</v>
      </c>
      <c r="AA28" s="2">
        <f t="shared" si="3"/>
        <v>0.88759999999999994</v>
      </c>
    </row>
    <row r="29" spans="1:27" x14ac:dyDescent="0.25">
      <c r="A29" t="s">
        <v>37</v>
      </c>
      <c r="B29" t="s">
        <v>31</v>
      </c>
      <c r="C29" s="2">
        <v>9.8400000000000001E-2</v>
      </c>
      <c r="D29" s="2">
        <v>0.1489</v>
      </c>
      <c r="E29" s="2">
        <v>0.19889999999999999</v>
      </c>
      <c r="F29" s="2">
        <v>0.1547</v>
      </c>
      <c r="G29" s="2">
        <v>0.18529999999999999</v>
      </c>
      <c r="H29" s="2">
        <v>0.12590000000000001</v>
      </c>
      <c r="I29" s="2">
        <v>0.1457</v>
      </c>
      <c r="J29" s="2">
        <v>0.15529999999999999</v>
      </c>
      <c r="K29" s="2">
        <v>0.10390000000000001</v>
      </c>
      <c r="L29" s="2">
        <v>0.1532</v>
      </c>
      <c r="M29" s="2">
        <v>0.16159999999999999</v>
      </c>
      <c r="N29" s="2">
        <v>0.12379999999999999</v>
      </c>
      <c r="O29" s="2">
        <v>0.15890000000000001</v>
      </c>
      <c r="P29" s="2">
        <v>0.1242</v>
      </c>
      <c r="Q29" s="2">
        <v>0.17119999999999999</v>
      </c>
      <c r="R29" s="2">
        <v>0.15690000000000001</v>
      </c>
      <c r="S29" s="2">
        <v>0.17749999999999999</v>
      </c>
      <c r="T29" s="2">
        <v>0.1232</v>
      </c>
      <c r="U29" s="2">
        <v>0.15310000000000001</v>
      </c>
      <c r="V29" s="2">
        <v>0.19439999999999999</v>
      </c>
      <c r="W29" s="2">
        <f t="shared" si="0"/>
        <v>0.15075</v>
      </c>
      <c r="X29" s="2">
        <f t="shared" si="4"/>
        <v>2.7713866945134912E-2</v>
      </c>
      <c r="Y29" s="2">
        <f t="shared" si="1"/>
        <v>18.383991340056326</v>
      </c>
      <c r="Z29" s="2">
        <f t="shared" si="2"/>
        <v>9.8400000000000001E-2</v>
      </c>
      <c r="AA29" s="2">
        <f t="shared" si="3"/>
        <v>0.19889999999999999</v>
      </c>
    </row>
    <row r="30" spans="1:27" x14ac:dyDescent="0.25">
      <c r="A30" t="s">
        <v>37</v>
      </c>
      <c r="B30" t="s">
        <v>32</v>
      </c>
      <c r="C30" s="2">
        <v>6.9099999999999995E-2</v>
      </c>
      <c r="D30" s="2">
        <v>8.6499999999999994E-2</v>
      </c>
      <c r="E30" s="2">
        <v>9.8900000000000002E-2</v>
      </c>
      <c r="F30" s="2">
        <v>9.6500000000000002E-2</v>
      </c>
      <c r="G30" s="2">
        <v>8.77E-2</v>
      </c>
      <c r="H30" s="2">
        <v>7.8E-2</v>
      </c>
      <c r="I30" s="2">
        <v>7.7700000000000005E-2</v>
      </c>
      <c r="J30" s="2">
        <v>0.11119999999999999</v>
      </c>
      <c r="K30" s="2">
        <v>9.6799999999999997E-2</v>
      </c>
      <c r="L30" s="2">
        <v>8.7599999999999997E-2</v>
      </c>
      <c r="M30" s="2">
        <v>8.5699999999999998E-2</v>
      </c>
      <c r="N30" s="2">
        <v>6.2E-2</v>
      </c>
      <c r="O30" s="2">
        <v>7.5800000000000006E-2</v>
      </c>
      <c r="P30" s="2">
        <v>8.7400000000000005E-2</v>
      </c>
      <c r="Q30" s="2">
        <v>8.72E-2</v>
      </c>
      <c r="R30" s="2">
        <v>6.1600000000000002E-2</v>
      </c>
      <c r="S30" s="2">
        <v>6.1400000000000003E-2</v>
      </c>
      <c r="T30" s="2">
        <v>6.8500000000000005E-2</v>
      </c>
      <c r="U30" s="2">
        <v>9.06E-2</v>
      </c>
      <c r="V30" s="2">
        <v>8.5900000000000004E-2</v>
      </c>
      <c r="W30" s="2">
        <f t="shared" si="0"/>
        <v>8.280499999999999E-2</v>
      </c>
      <c r="X30" s="2">
        <f t="shared" si="4"/>
        <v>1.3494344819414712E-2</v>
      </c>
      <c r="Y30" s="2">
        <f t="shared" si="1"/>
        <v>16.296533807638081</v>
      </c>
      <c r="Z30" s="2">
        <f t="shared" si="2"/>
        <v>6.1400000000000003E-2</v>
      </c>
      <c r="AA30" s="2">
        <f t="shared" si="3"/>
        <v>0.11119999999999999</v>
      </c>
    </row>
    <row r="31" spans="1:27" x14ac:dyDescent="0.25">
      <c r="A31" t="s">
        <v>37</v>
      </c>
      <c r="B31" t="s">
        <v>33</v>
      </c>
      <c r="C31" s="2">
        <v>4.4634</v>
      </c>
      <c r="D31" s="2">
        <v>4.7309999999999999</v>
      </c>
      <c r="E31" s="2">
        <v>5.0731999999999999</v>
      </c>
      <c r="F31" s="2">
        <v>3.2048999999999999</v>
      </c>
      <c r="G31" s="2">
        <v>4.6532</v>
      </c>
      <c r="H31" s="2">
        <v>4.6048999999999998</v>
      </c>
      <c r="I31" s="2">
        <v>4.0591999999999997</v>
      </c>
      <c r="J31" s="2">
        <v>4.9730999999999996</v>
      </c>
      <c r="K31" s="2">
        <v>5.2656999999999998</v>
      </c>
      <c r="L31" s="2">
        <v>4.3368000000000002</v>
      </c>
      <c r="M31" s="2">
        <v>5.7446999999999999</v>
      </c>
      <c r="N31" s="2">
        <v>4.4330999999999996</v>
      </c>
      <c r="O31" s="2">
        <v>4.3315999999999999</v>
      </c>
      <c r="P31" s="2">
        <v>5.0362999999999998</v>
      </c>
      <c r="Q31" s="2">
        <v>4.2060000000000004</v>
      </c>
      <c r="R31" s="2">
        <v>5.0232000000000001</v>
      </c>
      <c r="S31" s="2">
        <v>3.8130999999999999</v>
      </c>
      <c r="T31" s="2">
        <v>5.5815999999999999</v>
      </c>
      <c r="U31" s="2">
        <v>4.4763999999999999</v>
      </c>
      <c r="V31" s="2">
        <v>4.5900999999999996</v>
      </c>
      <c r="W31" s="2">
        <f t="shared" si="0"/>
        <v>4.6300750000000006</v>
      </c>
      <c r="X31" s="2">
        <f t="shared" si="4"/>
        <v>0.59240612214309807</v>
      </c>
      <c r="Y31" s="2">
        <f t="shared" si="1"/>
        <v>12.794741384169757</v>
      </c>
      <c r="Z31" s="2">
        <f t="shared" si="2"/>
        <v>3.2048999999999999</v>
      </c>
      <c r="AA31" s="2">
        <f t="shared" si="3"/>
        <v>5.7446999999999999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G23" sqref="G23"/>
    </sheetView>
  </sheetViews>
  <sheetFormatPr defaultRowHeight="15" x14ac:dyDescent="0.25"/>
  <cols>
    <col min="1" max="1" width="38" customWidth="1"/>
    <col min="2" max="7" width="18" customWidth="1"/>
  </cols>
  <sheetData>
    <row r="1" spans="1:7" x14ac:dyDescent="0.25">
      <c r="A1" s="3" t="s">
        <v>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</row>
    <row r="2" spans="1:7" x14ac:dyDescent="0.25">
      <c r="A2" t="s">
        <v>27</v>
      </c>
      <c r="B2" t="str">
        <f>TEXT(Results_Table6!W2,"0.000")&amp;" ± "&amp;TEXT(Results_Table6!X2,"0.000")</f>
        <v>0.578 ± 0.018</v>
      </c>
      <c r="C2" t="str">
        <f>TEXT(Results_Table6!W3,"0.000")&amp;" ± "&amp;TEXT(Results_Table6!X3,"0.000")</f>
        <v>0.763 ± 0.024</v>
      </c>
      <c r="D2" t="str">
        <f>TEXT(Results_Table6!W4,"0.000")&amp;" ± "&amp;TEXT(Results_Table6!X4,"0.000")</f>
        <v>0.903 ± 0.006</v>
      </c>
      <c r="E2" t="str">
        <f>TEXT(Results_Table6!W5,"0.000")&amp;" ± "&amp;TEXT(Results_Table6!X5,"0.000")</f>
        <v>-0.111 ± 0.012</v>
      </c>
      <c r="F2" t="str">
        <f>TEXT(Results_Table6!W6,"0.000")&amp;" ± "&amp;TEXT(Results_Table6!X6,"0.000")</f>
        <v>0.034 ± 0.005</v>
      </c>
      <c r="G2" t="str">
        <f>TEXT(Results_Table6!W7,"0.000")&amp;" ± "&amp;TEXT(Results_Table6!X7,"0.000")</f>
        <v>3.839 ± 0.309</v>
      </c>
    </row>
    <row r="3" spans="1:7" x14ac:dyDescent="0.25">
      <c r="A3" t="s">
        <v>34</v>
      </c>
      <c r="B3" t="str">
        <f>TEXT(Results_Table6!W8,"0.000")&amp;" ± "&amp;TEXT(Results_Table6!X8,"0.000")</f>
        <v>0.823 ± 0.035</v>
      </c>
      <c r="C3" t="str">
        <f>TEXT(Results_Table6!W9,"0.000")&amp;" ± "&amp;TEXT(Results_Table6!X9,"0.000")</f>
        <v>1.098 ± 0.036</v>
      </c>
      <c r="D3" t="str">
        <f>TEXT(Results_Table6!W10,"0.000")&amp;" ± "&amp;TEXT(Results_Table6!X10,"0.000")</f>
        <v>0.861 ± 0.006</v>
      </c>
      <c r="E3" t="str">
        <f>TEXT(Results_Table6!W11,"0.000")&amp;" ± "&amp;TEXT(Results_Table6!X11,"0.000")</f>
        <v>0.249 ± 0.029</v>
      </c>
      <c r="F3" t="str">
        <f>TEXT(Results_Table6!W12,"0.000")&amp;" ± "&amp;TEXT(Results_Table6!X12,"0.000")</f>
        <v>0.046 ± 0.007</v>
      </c>
      <c r="G3" t="str">
        <f>TEXT(Results_Table6!W13,"0.000")&amp;" ± "&amp;TEXT(Results_Table6!X13,"0.000")</f>
        <v>4.324 ± 0.455</v>
      </c>
    </row>
    <row r="4" spans="1:7" x14ac:dyDescent="0.25">
      <c r="A4" t="s">
        <v>35</v>
      </c>
      <c r="B4" t="str">
        <f>TEXT(Results_Table6!W14,"0.000")&amp;" ± "&amp;TEXT(Results_Table6!X14,"0.000")</f>
        <v>0.700 ± 0.032</v>
      </c>
      <c r="C4" t="str">
        <f>TEXT(Results_Table6!W15,"0.000")&amp;" ± "&amp;TEXT(Results_Table6!X15,"0.000")</f>
        <v>0.928 ± 0.027</v>
      </c>
      <c r="D4" t="str">
        <f>TEXT(Results_Table6!W16,"0.000")&amp;" ± "&amp;TEXT(Results_Table6!X16,"0.000")</f>
        <v>0.879 ± 0.006</v>
      </c>
      <c r="E4" t="str">
        <f>TEXT(Results_Table6!W17,"0.000")&amp;" ± "&amp;TEXT(Results_Table6!X17,"0.000")</f>
        <v>0.092 ± 0.018</v>
      </c>
      <c r="F4" t="str">
        <f>TEXT(Results_Table6!W18,"0.000")&amp;" ± "&amp;TEXT(Results_Table6!X18,"0.000")</f>
        <v>0.051 ± 0.009</v>
      </c>
      <c r="G4" t="str">
        <f>TEXT(Results_Table6!W19,"0.000")&amp;" ± "&amp;TEXT(Results_Table6!X19,"0.000")</f>
        <v>4.211 ± 0.353</v>
      </c>
    </row>
    <row r="5" spans="1:7" x14ac:dyDescent="0.25">
      <c r="A5" t="s">
        <v>36</v>
      </c>
      <c r="B5" t="str">
        <f>TEXT(Results_Table6!W20,"0.000")&amp;" ± "&amp;TEXT(Results_Table6!X20,"0.000")</f>
        <v>0.624 ± 0.025</v>
      </c>
      <c r="C5" t="str">
        <f>TEXT(Results_Table6!W21,"0.000")&amp;" ± "&amp;TEXT(Results_Table6!X21,"0.000")</f>
        <v>0.832 ± 0.024</v>
      </c>
      <c r="D5" t="str">
        <f>TEXT(Results_Table6!W22,"0.000")&amp;" ± "&amp;TEXT(Results_Table6!X22,"0.000")</f>
        <v>0.891 ± 0.007</v>
      </c>
      <c r="E5" t="str">
        <f>TEXT(Results_Table6!W23,"0.000")&amp;" ± "&amp;TEXT(Results_Table6!X23,"0.000")</f>
        <v>-0.018 ± 0.011</v>
      </c>
      <c r="F5" t="str">
        <f>TEXT(Results_Table6!W24,"0.000")&amp;" ± "&amp;TEXT(Results_Table6!X24,"0.000")</f>
        <v>0.180 ± 0.020</v>
      </c>
      <c r="G5" t="str">
        <f>TEXT(Results_Table6!W25,"0.000")&amp;" ± "&amp;TEXT(Results_Table6!X25,"0.000")</f>
        <v>3.801 ± 0.381</v>
      </c>
    </row>
    <row r="6" spans="1:7" x14ac:dyDescent="0.25">
      <c r="A6" t="s">
        <v>37</v>
      </c>
      <c r="B6" t="str">
        <f>TEXT(Results_Table6!W26,"0.000")&amp;" ± "&amp;TEXT(Results_Table6!X26,"0.000")</f>
        <v>0.754 ± 0.034</v>
      </c>
      <c r="C6" t="str">
        <f>TEXT(Results_Table6!W27,"0.000")&amp;" ± "&amp;TEXT(Results_Table6!X27,"0.000")</f>
        <v>1.002 ± 0.055</v>
      </c>
      <c r="D6" t="str">
        <f>TEXT(Results_Table6!W28,"0.000")&amp;" ± "&amp;TEXT(Results_Table6!X28,"0.000")</f>
        <v>0.872 ± 0.011</v>
      </c>
      <c r="E6" t="str">
        <f>TEXT(Results_Table6!W29,"0.000")&amp;" ± "&amp;TEXT(Results_Table6!X29,"0.000")</f>
        <v>0.151 ± 0.028</v>
      </c>
      <c r="F6" t="str">
        <f>TEXT(Results_Table6!W30,"0.000")&amp;" ± "&amp;TEXT(Results_Table6!X30,"0.000")</f>
        <v>0.083 ± 0.013</v>
      </c>
      <c r="G6" t="str">
        <f>TEXT(Results_Table6!W31,"0.000")&amp;" ± "&amp;TEXT(Results_Table6!X31,"0.000")</f>
        <v>4.630 ± 0.592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Results_Table6</vt:lpstr>
      <vt:lpstr>Table6_Summary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Inzamam Mashood Nasir</cp:lastModifiedBy>
  <dcterms:created xsi:type="dcterms:W3CDTF">2026-09-26T17:35:55Z</dcterms:created>
  <dcterms:modified xsi:type="dcterms:W3CDTF">2026-09-26T17:38:31Z</dcterms:modified>
</cp:coreProperties>
</file>